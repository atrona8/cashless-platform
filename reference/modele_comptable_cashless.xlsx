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  <sheet name="Entités" sheetId="3" state="visible" r:id="rId5"/>
    <sheet name="Plan de comptes" sheetId="4" state="visible" r:id="rId6"/>
    <sheet name="Journal" sheetId="5" state="visible" r:id="rId7"/>
    <sheet name="Grand livre" sheetId="6" state="visible" r:id="rId8"/>
    <sheet name="Balance" sheetId="7" state="visible" r:id="rId9"/>
    <sheet name="Relevés" sheetId="8" state="visible" r:id="rId10"/>
    <sheet name="SYSCOHADA" sheetId="9" state="visible" r:id="rId11"/>
  </sheets>
  <definedNames>
    <definedName function="false" hidden="true" localSheetId="4" name="_xlnm._FilterDatabase" vbProcedure="false">Journal!$A$4:$N$152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<sst xmlns="http://schemas.openxmlformats.org/spreadsheetml/2006/main" count="1740" uniqueCount="698">
  <si>
    <t xml:space="preserve">Modèle comptable cashless — grand livre en partie double</t>
  </si>
  <si>
    <t xml:space="preserve">Statut</t>
  </si>
  <si>
    <t xml:space="preserve">NON NORMATIF. Ce classeur illustre le modèle. La référence exécutable est scenario_reference.json, rejoué contre la base par scenario_reference_test.sql (pgTAP) : en cas d'écart, c'est la base et le scénario rejoué qui font foi.</t>
  </si>
  <si>
    <t xml:space="preserve">Version</t>
  </si>
  <si>
    <t xml:space="preserve">v3 — casse partagée par contrat (L-OPE-CASSE), caution en mode C (Aminata, rendue) et D (Jean, acquise), versement final au prestataire. v2 — ajouts : taxe sur frais et commissions (HT/TVA), versements en deux temps avec un échec, colonnes Source et Clé d'idempotence, solde courant par ligne, listes déroulantes, droits nets par partie, dates ordonnées.</t>
  </si>
  <si>
    <t xml:space="preserve">Objet</t>
  </si>
  <si>
    <t xml:space="preserve">Simuler de bout en bout le grand livre d'un pool de fonds cashless (un événement, une devise) : recharges, ventes, anomalie hors ligne, clôture, frais des 4 niveaux, versements, remboursements, casse.</t>
  </si>
  <si>
    <t xml:space="preserve">Scénario</t>
  </si>
  <si>
    <t xml:space="preserve">Festival Sons 2026, XOF. 6 festivaliers (dont 1 staff avec crédits offerts), 1 bar interne, 2 commerçants externes, 1 caisse espèces, 3 canaux PSP, cautions sur deux bracelets. Toutes les données sont fictives.</t>
  </si>
  <si>
    <t xml:space="preserve">Convention</t>
  </si>
  <si>
    <t xml:space="preserve">Chaque transaction (même n° T..) est équilibrée : total débit = total crédit. Comptes Argent = actif ; comptes Droit = ce que le pool doit à chaque partie.</t>
  </si>
  <si>
    <t xml:space="preserve">Paramètres</t>
  </si>
  <si>
    <t xml:space="preserve">Cellules jaunes à texte bleu : taux, frais, espèces comptées, arrêté de la balance. Tout se recalcule, y compris les versements (calculés sur les soldes).</t>
  </si>
  <si>
    <t xml:space="preserve">Plan de comptes</t>
  </si>
  <si>
    <t xml:space="preserve">37 comptes : argent, portefeuilles, commerçants, sous-comptes de l'organisateur, du prestataire et de la plateforme, compte d'attente.</t>
  </si>
  <si>
    <t xml:space="preserve">Journal</t>
  </si>
  <si>
    <t xml:space="preserve">Toutes les lignes. Montants bleus = saisis (données du scénario), noirs = calculés. Colonne « Équilibre tx » : doit valoir 0 partout.</t>
  </si>
  <si>
    <t xml:space="preserve">Grand livre</t>
  </si>
  <si>
    <t xml:space="preserve">Mouvements regroupés par compte avec solde cumulé (disposition figée sur les lignes du scénario).</t>
  </si>
  <si>
    <t xml:space="preserve">Balance</t>
  </si>
  <si>
    <t xml:space="preserve">Balance dynamique arrêtée à la transaction choisie, et contrôles : équilibre, argent = droits, soldes interdits, compte d'attente.</t>
  </si>
  <si>
    <t xml:space="preserve">Relevés</t>
  </si>
  <si>
    <t xml:space="preserve">Relevés commerçants et festivaliers, et ce que gagne chaque partie (organisateur, prestataire, plateforme).</t>
  </si>
  <si>
    <t xml:space="preserve">SYSCOHADA</t>
  </si>
  <si>
    <t xml:space="preserve">Correspondance indicative vers la comptabilité légale de l'organisateur (à valider par un expert-comptable).</t>
  </si>
  <si>
    <t xml:space="preserve">À essayer</t>
  </si>
  <si>
    <t xml:space="preserve">1) Paramètres → arrêté = 23 : situation à la fin du festival, avant la clôture (argent = droits). 2) Changer la commission Food ou les espèces comptées : versements et contrôles suivent. 3) Vide : tout est soldé à 0.</t>
  </si>
  <si>
    <t xml:space="preserve">Couleurs</t>
  </si>
  <si>
    <t xml:space="preserve">Bleu = saisie ; noir = formule ; vert = lien vers une autre feuille ; jaune = hypothèse à ajuster.</t>
  </si>
  <si>
    <t xml:space="preserve">Paramètres de l'événement</t>
  </si>
  <si>
    <t xml:space="preserve">Cellules jaunes à texte bleu = hypothèses modifiables. Tout le reste du classeur se recalcule.</t>
  </si>
  <si>
    <t xml:space="preserve">Paramètre</t>
  </si>
  <si>
    <t xml:space="preserve">Niveau de configuration</t>
  </si>
  <si>
    <t xml:space="preserve">Valeur</t>
  </si>
  <si>
    <t xml:space="preserve">Commentaire</t>
  </si>
  <si>
    <t xml:space="preserve">Devise de l'événement</t>
  </si>
  <si>
    <t xml:space="preserve">Événement</t>
  </si>
  <si>
    <t xml:space="preserve">XOF</t>
  </si>
  <si>
    <t xml:space="preserve">Une devise par événement ; montants en unités mineures (0 décimale en XOF)</t>
  </si>
  <si>
    <t xml:space="preserve">Frais PSP Wave</t>
  </si>
  <si>
    <t xml:space="preserve">Contrat PSP</t>
  </si>
  <si>
    <t xml:space="preserve">Hypothèse d'exemple, à remplacer par le contrat réel</t>
  </si>
  <si>
    <t xml:space="preserve">Frais PSP Orange Money</t>
  </si>
  <si>
    <t xml:space="preserve">Hypothèse d'exemple</t>
  </si>
  <si>
    <t xml:space="preserve">Frais PSP carte bancaire</t>
  </si>
  <si>
    <t xml:space="preserve">Payeur des frais PSP</t>
  </si>
  <si>
    <t xml:space="preserve">Événement (psp_fee_bearer)</t>
  </si>
  <si>
    <t xml:space="preserve">ORGANIZER</t>
  </si>
  <si>
    <t xml:space="preserve">Dans ce modèle : débités sur L-ORG-FPSP</t>
  </si>
  <si>
    <t xml:space="preserve">Frais d'activation par bracelet (festivalier)</t>
  </si>
  <si>
    <t xml:space="preserve">Payés par le festivalier, perçus par l'organisateur (L-ORG-FFEST). Staff exonéré</t>
  </si>
  <si>
    <t xml:space="preserve">Frais de remboursement du solde</t>
  </si>
  <si>
    <t xml:space="preserve">Événement (refund_policy)</t>
  </si>
  <si>
    <t xml:space="preserve">Perçus par l'organisateur</t>
  </si>
  <si>
    <t xml:space="preserve">Commission Food truck</t>
  </si>
  <si>
    <t xml:space="preserve">Participation commerçant</t>
  </si>
  <si>
    <t xml:space="preserve">Commerçant externe</t>
  </si>
  <si>
    <t xml:space="preserve">Commission Tee-shirts</t>
  </si>
  <si>
    <t xml:space="preserve">Commission Bar de l'organisateur</t>
  </si>
  <si>
    <t xml:space="preserve">Commerçant interne : pas de commission</t>
  </si>
  <si>
    <t xml:space="preserve">Droit de place Food truck</t>
  </si>
  <si>
    <t xml:space="preserve">Déduit des ventes à la clôture</t>
  </si>
  <si>
    <t xml:space="preserve">Droit de place Tee-shirts</t>
  </si>
  <si>
    <t xml:space="preserve">Frais prestataire : % des recharges payées</t>
  </si>
  <si>
    <t xml:space="preserve">Contrat prestataire–organisateur</t>
  </si>
  <si>
    <t xml:space="preserve">Assiette : recharges hors crédits offerts</t>
  </si>
  <si>
    <t xml:space="preserve">Frais prestataire : par bracelet activé</t>
  </si>
  <si>
    <t xml:space="preserve">Tous les bracelets, staff compris</t>
  </si>
  <si>
    <t xml:space="preserve">Nombre de bracelets activés</t>
  </si>
  <si>
    <t xml:space="preserve">Calculé</t>
  </si>
  <si>
    <t xml:space="preserve">Compté dans la liste des festivaliers (onglet Entités)</t>
  </si>
  <si>
    <t xml:space="preserve">Redevance plateforme : % des frais du prestataire</t>
  </si>
  <si>
    <t xml:space="preserve">Contrat plateforme–prestataire</t>
  </si>
  <si>
    <t xml:space="preserve">Prélevée dans le pool (écriture PLATFORM_FEE)</t>
  </si>
  <si>
    <t xml:space="preserve">Taxe sur commissions et frais (TVA)</t>
  </si>
  <si>
    <t xml:space="preserve">Profil de législation (tax_rules)</t>
  </si>
  <si>
    <t xml:space="preserve">Hypothèse : 18 %, taux normal au Sénégal, à confirmer. Tous les frais et commissions sont TTC. Mettre 0 pour désactiver</t>
  </si>
  <si>
    <t xml:space="preserve">Part de la casse revenant à l'organisateur</t>
  </si>
  <si>
    <t xml:space="preserve">Contrat prestataire–organisateur (breakage_organizer_bps)</t>
  </si>
  <si>
    <t xml:space="preserve">Le reste revient au prestataire (L-OPE-CASSE). Hypothèse d'exemple</t>
  </si>
  <si>
    <t xml:space="preserve">Caution par bracelet (lots avec caution)</t>
  </si>
  <si>
    <t xml:space="preserve">Lot (deposit_amount)</t>
  </si>
  <si>
    <t xml:space="preserve">Option du lot. Mode C = prélevée sur le solde ; mode D = payée à part. Hypothèse d'exemple</t>
  </si>
  <si>
    <t xml:space="preserve">Espèces comptées à la fermeture de la caisse C1</t>
  </si>
  <si>
    <t xml:space="preserve">Saisie de caisse</t>
  </si>
  <si>
    <t xml:space="preserve">Le théorique (recharges + caution D en espèces) est calculé par le grand livre ; l'écart va en pertes organisateur</t>
  </si>
  <si>
    <t xml:space="preserve">Balance arrêtée à la transaction n° (vide = toutes)</t>
  </si>
  <si>
    <t xml:space="preserve">Affichage</t>
  </si>
  <si>
    <t xml:space="preserve">Saisir par ex. 23 pour voir la situation à la fin du festival, avant la clôture</t>
  </si>
  <si>
    <t xml:space="preserve">Transaction de fin effective (calculé)</t>
  </si>
  <si>
    <t xml:space="preserve">Entités du scénario</t>
  </si>
  <si>
    <t xml:space="preserve">Hiérarchie multi-tenant : plateforme → prestataire → organisateur → événement → commerçants / points de vente ; festivaliers.</t>
  </si>
  <si>
    <t xml:space="preserve">Code</t>
  </si>
  <si>
    <t xml:space="preserve">Type</t>
  </si>
  <si>
    <t xml:space="preserve">Nom (fictif)</t>
  </si>
  <si>
    <t xml:space="preserve">Rattachement</t>
  </si>
  <si>
    <t xml:space="preserve">Rôle</t>
  </si>
  <si>
    <t xml:space="preserve">PLT</t>
  </si>
  <si>
    <t xml:space="preserve">Plateforme</t>
  </si>
  <si>
    <t xml:space="preserve">Plateforme Cashless</t>
  </si>
  <si>
    <t xml:space="preserve">—</t>
  </si>
  <si>
    <t xml:space="preserve">Propriétaire du logiciel ; perçoit une redevance sur le prestataire</t>
  </si>
  <si>
    <t xml:space="preserve">OPE</t>
  </si>
  <si>
    <t xml:space="preserve">Prestataire cashless</t>
  </si>
  <si>
    <t xml:space="preserve">Prestataire Sénégal</t>
  </si>
  <si>
    <t xml:space="preserve">Tenant ; fournit terminaux et bracelets ; perçoit ses frais</t>
  </si>
  <si>
    <t xml:space="preserve">ORG</t>
  </si>
  <si>
    <t xml:space="preserve">Organisateur</t>
  </si>
  <si>
    <t xml:space="preserve">Association Festival Sons</t>
  </si>
  <si>
    <t xml:space="preserve">Émetteur des crédits et détenteur des fonds (compte cantonné)</t>
  </si>
  <si>
    <t xml:space="preserve">EVT</t>
  </si>
  <si>
    <t xml:space="preserve">Festival Sons 2026 (11–13 déc.)</t>
  </si>
  <si>
    <t xml:space="preserve">Devise XOF ; portefeuilles par événement (wallet_scope = EVENT)</t>
  </si>
  <si>
    <t xml:space="preserve">BAR</t>
  </si>
  <si>
    <t xml:space="preserve">Commerçant interne</t>
  </si>
  <si>
    <t xml:space="preserve">Bar de l'organisateur</t>
  </si>
  <si>
    <t xml:space="preserve">ORG / EVT</t>
  </si>
  <si>
    <t xml:space="preserve">Ventes reversées à l'organisateur, sans commission</t>
  </si>
  <si>
    <t xml:space="preserve">FOOD</t>
  </si>
  <si>
    <t xml:space="preserve">Food truck</t>
  </si>
  <si>
    <t xml:space="preserve">OPE / EVT</t>
  </si>
  <si>
    <t xml:space="preserve">Commission 12 % + droit de place</t>
  </si>
  <si>
    <t xml:space="preserve">TEE</t>
  </si>
  <si>
    <t xml:space="preserve">Vendeur de tee-shirts</t>
  </si>
  <si>
    <t xml:space="preserve">Commission 10 % + droit de place</t>
  </si>
  <si>
    <t xml:space="preserve">C1</t>
  </si>
  <si>
    <t xml:space="preserve">Caisse de recharge</t>
  </si>
  <si>
    <t xml:space="preserve">Guichet entrée</t>
  </si>
  <si>
    <t xml:space="preserve">Recharges en espèces</t>
  </si>
  <si>
    <t xml:space="preserve">Festivaliers (un portefeuille chacun)</t>
  </si>
  <si>
    <t xml:space="preserve">Portefeuille</t>
  </si>
  <si>
    <t xml:space="preserve">Nom</t>
  </si>
  <si>
    <t xml:space="preserve">Compte crédits payés</t>
  </si>
  <si>
    <t xml:space="preserve">Compte crédits offerts</t>
  </si>
  <si>
    <t xml:space="preserve">Profil</t>
  </si>
  <si>
    <t xml:space="preserve">W01</t>
  </si>
  <si>
    <t xml:space="preserve">Awa</t>
  </si>
  <si>
    <t xml:space="preserve">L-WAL-W01-P</t>
  </si>
  <si>
    <t xml:space="preserve">Recharge Wave ; solde non réclamé → casse</t>
  </si>
  <si>
    <t xml:space="preserve">W02</t>
  </si>
  <si>
    <t xml:space="preserve">Moussa</t>
  </si>
  <si>
    <t xml:space="preserve">L-WAL-W02-P</t>
  </si>
  <si>
    <t xml:space="preserve">Recharge Orange Money ; demande un remboursement</t>
  </si>
  <si>
    <t xml:space="preserve">W03</t>
  </si>
  <si>
    <t xml:space="preserve">Fatou</t>
  </si>
  <si>
    <t xml:space="preserve">L-WAL-W03-P</t>
  </si>
  <si>
    <t xml:space="preserve">Recharge par carte ; demande un remboursement</t>
  </si>
  <si>
    <t xml:space="preserve">W04</t>
  </si>
  <si>
    <t xml:space="preserve">Jean</t>
  </si>
  <si>
    <t xml:space="preserve">L-WAL-W04-P</t>
  </si>
  <si>
    <t xml:space="preserve">Espèces ; vente annulée ; bracelet cloné (anomalie hors ligne)</t>
  </si>
  <si>
    <t xml:space="preserve">W05</t>
  </si>
  <si>
    <t xml:space="preserve">Aminata</t>
  </si>
  <si>
    <t xml:space="preserve">L-WAL-W05-P</t>
  </si>
  <si>
    <t xml:space="preserve">Espèces ; solde non réclamé → casse</t>
  </si>
  <si>
    <t xml:space="preserve">W06</t>
  </si>
  <si>
    <t xml:space="preserve">Ibou (staff)</t>
  </si>
  <si>
    <t xml:space="preserve">L-WAL-W06-X</t>
  </si>
  <si>
    <t xml:space="preserve">6 000 de crédits offerts, non remboursables ; 1 000 non utilisés expirent</t>
  </si>
  <si>
    <t xml:space="preserve">Plan de comptes du grand livre (pool de l'événement)</t>
  </si>
  <si>
    <t xml:space="preserve">Argent = actif (solde normal débiteur). Droit = ce que le pool doit à une partie (solde normal créditeur).</t>
  </si>
  <si>
    <t xml:space="preserve">Intitulé</t>
  </si>
  <si>
    <t xml:space="preserve">Famille</t>
  </si>
  <si>
    <t xml:space="preserve">Titulaire</t>
  </si>
  <si>
    <t xml:space="preserve">Solde normal</t>
  </si>
  <si>
    <t xml:space="preserve">Négatif permis</t>
  </si>
  <si>
    <t xml:space="preserve">purpose (base)</t>
  </si>
  <si>
    <t xml:space="preserve">SYSCOHADA indicatif (organisateur)</t>
  </si>
  <si>
    <t xml:space="preserve">A-PSP-WAVE</t>
  </si>
  <si>
    <t xml:space="preserve">Créance sur Wave</t>
  </si>
  <si>
    <t xml:space="preserve">Argent</t>
  </si>
  <si>
    <t xml:space="preserve">D</t>
  </si>
  <si>
    <t xml:space="preserve">Non</t>
  </si>
  <si>
    <t xml:space="preserve">PSP</t>
  </si>
  <si>
    <t xml:space="preserve">Créance sur PSP (classe 4) / 585</t>
  </si>
  <si>
    <t xml:space="preserve">A-PSP-OM</t>
  </si>
  <si>
    <t xml:space="preserve">Créance sur Orange Money</t>
  </si>
  <si>
    <t xml:space="preserve">A-PSP-CARTE</t>
  </si>
  <si>
    <t xml:space="preserve">Créance sur PSP carte</t>
  </si>
  <si>
    <t xml:space="preserve">A-CAISSE-C1</t>
  </si>
  <si>
    <t xml:space="preserve">Caisse de recharge C1 (espèces)</t>
  </si>
  <si>
    <t xml:space="preserve">CASH_DESK</t>
  </si>
  <si>
    <t xml:space="preserve">571 Caisse</t>
  </si>
  <si>
    <t xml:space="preserve">A-TRANSIT</t>
  </si>
  <si>
    <t xml:space="preserve">Espèces en transit vers la banque</t>
  </si>
  <si>
    <t xml:space="preserve">CASH_TRANSIT</t>
  </si>
  <si>
    <t xml:space="preserve">585 Virements de fonds</t>
  </si>
  <si>
    <t xml:space="preserve">A-BANQUE</t>
  </si>
  <si>
    <t xml:space="preserve">Banque — compte cantonné du pool</t>
  </si>
  <si>
    <t xml:space="preserve">BANK</t>
  </si>
  <si>
    <t xml:space="preserve">521 Banques</t>
  </si>
  <si>
    <t xml:space="preserve">Portefeuille W01 Awa — crédits payés</t>
  </si>
  <si>
    <t xml:space="preserve">Droit</t>
  </si>
  <si>
    <t xml:space="preserve">C</t>
  </si>
  <si>
    <t xml:space="preserve">WALLET_PAID</t>
  </si>
  <si>
    <t xml:space="preserve">4191 Clients, avances reçues</t>
  </si>
  <si>
    <t xml:space="preserve">Portefeuille W02 Moussa — crédits payés</t>
  </si>
  <si>
    <t xml:space="preserve">4191</t>
  </si>
  <si>
    <t xml:space="preserve">Portefeuille W03 Fatou — crédits payés</t>
  </si>
  <si>
    <t xml:space="preserve">Portefeuille W04 Jean — crédits payés</t>
  </si>
  <si>
    <t xml:space="preserve">Portefeuille W05 Aminata — crédits payés</t>
  </si>
  <si>
    <t xml:space="preserve">Portefeuille W06 Ibou — crédits offerts</t>
  </si>
  <si>
    <t xml:space="preserve">WALLET_PROMO</t>
  </si>
  <si>
    <t xml:space="preserve">4191 (sous-compte non remboursable)</t>
  </si>
  <si>
    <t xml:space="preserve">L-MCH-BAR</t>
  </si>
  <si>
    <t xml:space="preserve">Commerçant interne — Bar de l'organisateur</t>
  </si>
  <si>
    <t xml:space="preserve">Oui</t>
  </si>
  <si>
    <t xml:space="preserve">MERCHANT</t>
  </si>
  <si>
    <t xml:space="preserve">701/706 Ventes (+443 TVA)</t>
  </si>
  <si>
    <t xml:space="preserve">L-MCH-FOOD</t>
  </si>
  <si>
    <t xml:space="preserve">Commerçant externe — Food truck</t>
  </si>
  <si>
    <t xml:space="preserve">Compte de tiers : fonds à reverser (classe 4)</t>
  </si>
  <si>
    <t xml:space="preserve">L-MCH-TEE</t>
  </si>
  <si>
    <t xml:space="preserve">Commerçant externe — Tee-shirts</t>
  </si>
  <si>
    <t xml:space="preserve">L-ORG-COM</t>
  </si>
  <si>
    <t xml:space="preserve">Organisateur — commissions</t>
  </si>
  <si>
    <t xml:space="preserve">ORG_COM</t>
  </si>
  <si>
    <t xml:space="preserve">706 Services vendus (+443)</t>
  </si>
  <si>
    <t xml:space="preserve">L-ORG-PLACE</t>
  </si>
  <si>
    <t xml:space="preserve">Organisateur — droits de place</t>
  </si>
  <si>
    <t xml:space="preserve">ORG_PLACE</t>
  </si>
  <si>
    <t xml:space="preserve">L-ORG-FFEST</t>
  </si>
  <si>
    <t xml:space="preserve">Organisateur — frais festivaliers</t>
  </si>
  <si>
    <t xml:space="preserve">ORG_FFEST</t>
  </si>
  <si>
    <t xml:space="preserve">L-ORG-TVA</t>
  </si>
  <si>
    <t xml:space="preserve">Organisateur — taxe collectée (à reverser à l'État)</t>
  </si>
  <si>
    <t xml:space="preserve">ORG_TAX</t>
  </si>
  <si>
    <t xml:space="preserve">443 État, TVA facturée</t>
  </si>
  <si>
    <t xml:space="preserve">L-ORG-CASSE</t>
  </si>
  <si>
    <t xml:space="preserve">Organisateur — casse (soldes non réclamés)</t>
  </si>
  <si>
    <t xml:space="preserve">ORG_CASSE</t>
  </si>
  <si>
    <t xml:space="preserve">Produit (classe 7), si la loi le permet</t>
  </si>
  <si>
    <t xml:space="preserve">L-ORG-CAUTION</t>
  </si>
  <si>
    <t xml:space="preserve">Organisateur — cautions détenues (à rendre)</t>
  </si>
  <si>
    <t xml:space="preserve">ORG_DEPOSIT</t>
  </si>
  <si>
    <t xml:space="preserve">Dépôts et cautionnements reçus (classe 4)</t>
  </si>
  <si>
    <t xml:space="preserve">L-ORG-CAUTION-ACQ</t>
  </si>
  <si>
    <t xml:space="preserve">Organisateur — cautions acquises (bracelets non rendus)</t>
  </si>
  <si>
    <t xml:space="preserve">ORG_DEPOSIT_FORFEIT</t>
  </si>
  <si>
    <t xml:space="preserve">Produit (classe 7) ; traitement TVA à confirmer</t>
  </si>
  <si>
    <t xml:space="preserve">L-ORG-PROMO</t>
  </si>
  <si>
    <t xml:space="preserve">Organisateur — financement des crédits offerts</t>
  </si>
  <si>
    <t xml:space="preserve">ORG_PROMO</t>
  </si>
  <si>
    <t xml:space="preserve">Charge selon la nature (classe 6)</t>
  </si>
  <si>
    <t xml:space="preserve">L-ORG-FPSP</t>
  </si>
  <si>
    <t xml:space="preserve">Organisateur — frais PSP supportés</t>
  </si>
  <si>
    <t xml:space="preserve">ORG_FPSP</t>
  </si>
  <si>
    <t xml:space="preserve">631 Frais bancaires</t>
  </si>
  <si>
    <t xml:space="preserve">L-ORG-FPREST</t>
  </si>
  <si>
    <t xml:space="preserve">Organisateur — frais du prestataire</t>
  </si>
  <si>
    <t xml:space="preserve">ORG_FPREST</t>
  </si>
  <si>
    <t xml:space="preserve">Services extérieurs (classe 6) / 401</t>
  </si>
  <si>
    <t xml:space="preserve">L-ORG-PERTES</t>
  </si>
  <si>
    <t xml:space="preserve">Organisateur — pertes (fraude, écarts de caisse)</t>
  </si>
  <si>
    <t xml:space="preserve">ORG_PERTES</t>
  </si>
  <si>
    <t xml:space="preserve">Charges diverses (classe 6)</t>
  </si>
  <si>
    <t xml:space="preserve">L-ORG-VERS</t>
  </si>
  <si>
    <t xml:space="preserve">Organisateur — versements reçus</t>
  </si>
  <si>
    <t xml:space="preserve">ORG_VERS</t>
  </si>
  <si>
    <t xml:space="preserve">521 Banques (compte propre)</t>
  </si>
  <si>
    <t xml:space="preserve">L-OPE-FRAIS</t>
  </si>
  <si>
    <t xml:space="preserve">Prestataire — frais facturés</t>
  </si>
  <si>
    <t xml:space="preserve">OPE_FRAIS</t>
  </si>
  <si>
    <t xml:space="preserve">Chez le prestataire : 706 / 411</t>
  </si>
  <si>
    <t xml:space="preserve">L-OPE-TVA</t>
  </si>
  <si>
    <t xml:space="preserve">Prestataire — taxe collectée</t>
  </si>
  <si>
    <t xml:space="preserve">OPE_TAX</t>
  </si>
  <si>
    <t xml:space="preserve">Chez le prestataire : 443</t>
  </si>
  <si>
    <t xml:space="preserve">L-OPE-CASSE</t>
  </si>
  <si>
    <t xml:space="preserve">Prestataire — part de casse (contrat)</t>
  </si>
  <si>
    <t xml:space="preserve">OPE_CASSE</t>
  </si>
  <si>
    <t xml:space="preserve">Chez le prestataire : produit (classe 7)</t>
  </si>
  <si>
    <t xml:space="preserve">L-OPE-REDEV</t>
  </si>
  <si>
    <t xml:space="preserve">Prestataire — redevance due à la plateforme</t>
  </si>
  <si>
    <t xml:space="preserve">OPE_REDEV</t>
  </si>
  <si>
    <t xml:space="preserve">Chez le prestataire : classe 6 / 401</t>
  </si>
  <si>
    <t xml:space="preserve">L-OPE-VERS</t>
  </si>
  <si>
    <t xml:space="preserve">Prestataire — versements reçus</t>
  </si>
  <si>
    <t xml:space="preserve">OPE_VERS</t>
  </si>
  <si>
    <t xml:space="preserve">Chez le prestataire : 521</t>
  </si>
  <si>
    <t xml:space="preserve">L-PLT-REDEV</t>
  </si>
  <si>
    <t xml:space="preserve">Plateforme — redevance</t>
  </si>
  <si>
    <t xml:space="preserve">PLT_REDEV</t>
  </si>
  <si>
    <t xml:space="preserve">Chez la plateforme : 706 / 411</t>
  </si>
  <si>
    <t xml:space="preserve">L-PLT-TVA</t>
  </si>
  <si>
    <t xml:space="preserve">Plateforme — taxe collectée</t>
  </si>
  <si>
    <t xml:space="preserve">PLT_TAX</t>
  </si>
  <si>
    <t xml:space="preserve">Chez la plateforme : 443 (ou autoliquidation si étrangère)</t>
  </si>
  <si>
    <t xml:space="preserve">L-PLT-VERS</t>
  </si>
  <si>
    <t xml:space="preserve">Plateforme — versements reçus</t>
  </si>
  <si>
    <t xml:space="preserve">PLT_VERS</t>
  </si>
  <si>
    <t xml:space="preserve">Chez la plateforme : 521</t>
  </si>
  <si>
    <t xml:space="preserve">L-VERS-ENCOURS</t>
  </si>
  <si>
    <t xml:space="preserve">Versements en cours (initiés, non confirmés)</t>
  </si>
  <si>
    <t xml:space="preserve">PAYOUT_PENDING</t>
  </si>
  <si>
    <t xml:space="preserve">Compte de tiers transitoire ; 0 quand tout est confirmé</t>
  </si>
  <si>
    <t xml:space="preserve">S-ATTENTE</t>
  </si>
  <si>
    <t xml:space="preserve">Compte d'attente — anomalies</t>
  </si>
  <si>
    <t xml:space="preserve">Attente</t>
  </si>
  <si>
    <t xml:space="preserve">SUSPENSE</t>
  </si>
  <si>
    <t xml:space="preserve">Compte d'attente ; doit être à 0 à la clôture</t>
  </si>
  <si>
    <t xml:space="preserve">Journal — toutes les écritures en partie double</t>
  </si>
  <si>
    <t xml:space="preserve">Une transaction = plusieurs lignes avec le même n°. Montants bleus = saisis (données du scénario) ; noirs = calculés (frais, soldes, versements).</t>
  </si>
  <si>
    <t xml:space="preserve">N° tx</t>
  </si>
  <si>
    <t xml:space="preserve">Date / heure</t>
  </si>
  <si>
    <t xml:space="preserve">Type d'opération</t>
  </si>
  <si>
    <t xml:space="preserve">Nature de ligne</t>
  </si>
  <si>
    <t xml:space="preserve">Libellé</t>
  </si>
  <si>
    <t xml:space="preserve">Compte</t>
  </si>
  <si>
    <t xml:space="preserve">Intitulé du compte</t>
  </si>
  <si>
    <t xml:space="preserve">Débit (XOF)</t>
  </si>
  <si>
    <t xml:space="preserve">Crédit (XOF)</t>
  </si>
  <si>
    <t xml:space="preserve">Équilibre tx</t>
  </si>
  <si>
    <t xml:space="preserve">Source</t>
  </si>
  <si>
    <t xml:space="preserve">Clé d'idempotence</t>
  </si>
  <si>
    <t xml:space="preserve">Solde du compte après la ligne (D − C)</t>
  </si>
  <si>
    <t xml:space="preserve">Recharge</t>
  </si>
  <si>
    <t xml:space="preserve">Recharge WAVE — Awa (prévente en ligne)</t>
  </si>
  <si>
    <t xml:space="preserve">PSP_WEBHOOK</t>
  </si>
  <si>
    <t xml:space="preserve">wave:WV-88121</t>
  </si>
  <si>
    <t xml:space="preserve">Frais PSP</t>
  </si>
  <si>
    <t xml:space="preserve">Commission WAVE supportée par l'organisateur</t>
  </si>
  <si>
    <t xml:space="preserve">Commission WAVE déduite du versement</t>
  </si>
  <si>
    <t xml:space="preserve">Recharge OM — Moussa</t>
  </si>
  <si>
    <t xml:space="preserve">om:OM-55310</t>
  </si>
  <si>
    <t xml:space="preserve">Commission OM supportée par l'organisateur</t>
  </si>
  <si>
    <t xml:space="preserve">Commission OM déduite du versement</t>
  </si>
  <si>
    <t xml:space="preserve">Recharge CARTE — Fatou</t>
  </si>
  <si>
    <t xml:space="preserve">psp:CB-10492</t>
  </si>
  <si>
    <t xml:space="preserve">Commission CARTE supportée par l'organisateur</t>
  </si>
  <si>
    <t xml:space="preserve">Commission CARTE déduite du versement</t>
  </si>
  <si>
    <t xml:space="preserve">Recharge espèces</t>
  </si>
  <si>
    <t xml:space="preserve">Recharge espèces caisse C1 — Jean</t>
  </si>
  <si>
    <t xml:space="preserve">ONLINE</t>
  </si>
  <si>
    <t xml:space="preserve">C1-TPE:0001</t>
  </si>
  <si>
    <t xml:space="preserve">Caution</t>
  </si>
  <si>
    <t xml:space="preserve">Caution bracelet payée en espèces (mode D) — Jean</t>
  </si>
  <si>
    <t xml:space="preserve">deposit:W04:1</t>
  </si>
  <si>
    <t xml:space="preserve">Caution détenue pour le bracelet de Jean</t>
  </si>
  <si>
    <t xml:space="preserve">Recharge espèces caisse C1 — Aminata</t>
  </si>
  <si>
    <t xml:space="preserve">C1-TPE:0002</t>
  </si>
  <si>
    <t xml:space="preserve">Caution prélevée sur le solde (mode C) — Aminata</t>
  </si>
  <si>
    <t xml:space="preserve">deposit:W05:1</t>
  </si>
  <si>
    <t xml:space="preserve">Caution détenue pour le bracelet d'Aminata</t>
  </si>
  <si>
    <t xml:space="preserve">Crédits offerts</t>
  </si>
  <si>
    <t xml:space="preserve">Crédit offert</t>
  </si>
  <si>
    <t xml:space="preserve">Crédits staff offerts par l'organisateur — Ibou</t>
  </si>
  <si>
    <t xml:space="preserve">BACKOFFICE</t>
  </si>
  <si>
    <t xml:space="preserve">promo:STAFF-2026-014</t>
  </si>
  <si>
    <t xml:space="preserve">Frais d'activation</t>
  </si>
  <si>
    <t xml:space="preserve">Frais festivalier</t>
  </si>
  <si>
    <t xml:space="preserve">Frais d'activation bracelet W01</t>
  </si>
  <si>
    <t xml:space="preserve">BATCH</t>
  </si>
  <si>
    <t xml:space="preserve">activation:EVT-2026:lot1</t>
  </si>
  <si>
    <t xml:space="preserve">Frais d'activation bracelet W02</t>
  </si>
  <si>
    <t xml:space="preserve">Frais d'activation bracelet W03</t>
  </si>
  <si>
    <t xml:space="preserve">Frais d'activation bracelet W04</t>
  </si>
  <si>
    <t xml:space="preserve">Frais d'activation bracelet W05</t>
  </si>
  <si>
    <t xml:space="preserve">Frais d'activation perçus (5 bracelets) (HT)</t>
  </si>
  <si>
    <t xml:space="preserve">Frais d'activation perçus (5 bracelets) (taxe collectée)</t>
  </si>
  <si>
    <t xml:space="preserve">Vente</t>
  </si>
  <si>
    <t xml:space="preserve">Achat FOOD — Awa</t>
  </si>
  <si>
    <t xml:space="preserve">TPE-FOOD-01:0001</t>
  </si>
  <si>
    <t xml:space="preserve">Vente FOOD — Awa</t>
  </si>
  <si>
    <t xml:space="preserve">Commission</t>
  </si>
  <si>
    <t xml:space="preserve">Commission TTC sur vente FOOD</t>
  </si>
  <si>
    <t xml:space="preserve">Commission sur vente FOOD (HT)</t>
  </si>
  <si>
    <t xml:space="preserve">Commission sur vente FOOD (taxe collectée)</t>
  </si>
  <si>
    <t xml:space="preserve">Achat BAR — Awa</t>
  </si>
  <si>
    <t xml:space="preserve">TPE-BAR-01:0001</t>
  </si>
  <si>
    <t xml:space="preserve">Vente BAR — Awa</t>
  </si>
  <si>
    <t xml:space="preserve">Achat TEE — Moussa</t>
  </si>
  <si>
    <t xml:space="preserve">TPE-TEE-01:0001</t>
  </si>
  <si>
    <t xml:space="preserve">Vente TEE — Moussa</t>
  </si>
  <si>
    <t xml:space="preserve">Commission TTC sur vente TEE</t>
  </si>
  <si>
    <t xml:space="preserve">Commission sur vente TEE (HT)</t>
  </si>
  <si>
    <t xml:space="preserve">Commission sur vente TEE (taxe collectée)</t>
  </si>
  <si>
    <t xml:space="preserve">Achat FOOD — Fatou</t>
  </si>
  <si>
    <t xml:space="preserve">TPE-FOOD-01:0002</t>
  </si>
  <si>
    <t xml:space="preserve">Vente FOOD — Fatou</t>
  </si>
  <si>
    <t xml:space="preserve">Achat BAR — Fatou</t>
  </si>
  <si>
    <t xml:space="preserve">TPE-BAR-01:0002</t>
  </si>
  <si>
    <t xml:space="preserve">Vente BAR — Fatou</t>
  </si>
  <si>
    <t xml:space="preserve">Achat BAR — Jean</t>
  </si>
  <si>
    <t xml:space="preserve">TPE-BAR-01:0003</t>
  </si>
  <si>
    <t xml:space="preserve">Vente BAR — Jean</t>
  </si>
  <si>
    <t xml:space="preserve">Annulation vente</t>
  </si>
  <si>
    <t xml:space="preserve">Annulation</t>
  </si>
  <si>
    <t xml:space="preserve">Contre-passation de T15 (erreur de saisie)</t>
  </si>
  <si>
    <t xml:space="preserve">TPE-BAR-01:0004</t>
  </si>
  <si>
    <t xml:space="preserve">Achat BAR — Jean (montant corrigé)</t>
  </si>
  <si>
    <t xml:space="preserve">TPE-BAR-01:0005</t>
  </si>
  <si>
    <t xml:space="preserve">Vente BAR — Jean (montant corrigé)</t>
  </si>
  <si>
    <t xml:space="preserve">Achat TEE — Aminata</t>
  </si>
  <si>
    <t xml:space="preserve">TPE-TEE-01:0002</t>
  </si>
  <si>
    <t xml:space="preserve">Vente TEE — Aminata</t>
  </si>
  <si>
    <t xml:space="preserve">Achat FOOD — Aminata</t>
  </si>
  <si>
    <t xml:space="preserve">TPE-FOOD-01:0003</t>
  </si>
  <si>
    <t xml:space="preserve">Vente FOOD — Aminata</t>
  </si>
  <si>
    <t xml:space="preserve">Achat BAR — Ibou (crédits offerts)</t>
  </si>
  <si>
    <t xml:space="preserve">TPE-BAR-01:0006</t>
  </si>
  <si>
    <t xml:space="preserve">Vente BAR — Ibou (crédits offerts)</t>
  </si>
  <si>
    <t xml:space="preserve">Achat FOOD — Ibou (crédits offerts)</t>
  </si>
  <si>
    <t xml:space="preserve">TPE-FOOD-01:0004</t>
  </si>
  <si>
    <t xml:space="preserve">Vente FOOD — Ibou (crédits offerts)</t>
  </si>
  <si>
    <t xml:space="preserve">Vente hors ligne</t>
  </si>
  <si>
    <t xml:space="preserve">Achat FOOD hors ligne — Jean (synchro : solde insuffisant)</t>
  </si>
  <si>
    <t xml:space="preserve">OFFLINE_SYNC</t>
  </si>
  <si>
    <t xml:space="preserve">TPE-FOOD-02:0087</t>
  </si>
  <si>
    <t xml:space="preserve">Part non couverte → compte d'attente (anomalie)</t>
  </si>
  <si>
    <t xml:space="preserve">Vente FOOD hors ligne — Jean (commerçant garanti)</t>
  </si>
  <si>
    <t xml:space="preserve">Caution rendue</t>
  </si>
  <si>
    <t xml:space="preserve">Bracelet rendu : caution recréditée sur le solde (mode C) — Aminata</t>
  </si>
  <si>
    <t xml:space="preserve">deposit-refund:W05:1</t>
  </si>
  <si>
    <t xml:space="preserve">Caution recréditée — Aminata</t>
  </si>
  <si>
    <t xml:space="preserve">Fermeture caisse</t>
  </si>
  <si>
    <t xml:space="preserve">Caisse</t>
  </si>
  <si>
    <t xml:space="preserve">Espèces comptées, mises en transit</t>
  </si>
  <si>
    <t xml:space="preserve">cash-session:C1:2026-12-13</t>
  </si>
  <si>
    <t xml:space="preserve">Écart de caisse (manque / surplus)</t>
  </si>
  <si>
    <t xml:space="preserve">Solde théorique de la caisse C1</t>
  </si>
  <si>
    <t xml:space="preserve">Résolution anomalie</t>
  </si>
  <si>
    <t xml:space="preserve">Perte</t>
  </si>
  <si>
    <t xml:space="preserve">Perte hors ligne supportée par l'organisateur (offline_loss_bearer)</t>
  </si>
  <si>
    <t xml:space="preserve">anomaly:AN-0001</t>
  </si>
  <si>
    <t xml:space="preserve">Solde du compte d'attente</t>
  </si>
  <si>
    <t xml:space="preserve">Dépôt espèces</t>
  </si>
  <si>
    <t xml:space="preserve">Banque</t>
  </si>
  <si>
    <t xml:space="preserve">Dépôt des espèces en banque</t>
  </si>
  <si>
    <t xml:space="preserve">bank:DEP-771</t>
  </si>
  <si>
    <t xml:space="preserve">Versement PSP</t>
  </si>
  <si>
    <t xml:space="preserve">Versement net WAVE (rapproché avec le relevé)</t>
  </si>
  <si>
    <t xml:space="preserve">stmt:wave:2026-12-15</t>
  </si>
  <si>
    <t xml:space="preserve">Versement net WAVE</t>
  </si>
  <si>
    <t xml:space="preserve">Versement net OM (rapproché avec le relevé)</t>
  </si>
  <si>
    <t xml:space="preserve">stmt:om:2026-12-15</t>
  </si>
  <si>
    <t xml:space="preserve">Versement net OM</t>
  </si>
  <si>
    <t xml:space="preserve">Versement net CARTE (rapproché avec le relevé)</t>
  </si>
  <si>
    <t xml:space="preserve">stmt:psp:2026-12-16</t>
  </si>
  <si>
    <t xml:space="preserve">Versement net CARTE</t>
  </si>
  <si>
    <t xml:space="preserve">Droits de place</t>
  </si>
  <si>
    <t xml:space="preserve">Droit de place</t>
  </si>
  <si>
    <t xml:space="preserve">Droit de place TTC Food truck</t>
  </si>
  <si>
    <t xml:space="preserve">closing:EVT-2026:place</t>
  </si>
  <si>
    <t xml:space="preserve">Droit de place TTC Tee-shirts</t>
  </si>
  <si>
    <t xml:space="preserve">Droits de place perçus (HT)</t>
  </si>
  <si>
    <t xml:space="preserve">Droits de place perçus (taxe collectée)</t>
  </si>
  <si>
    <t xml:space="preserve">Frais prestataire</t>
  </si>
  <si>
    <t xml:space="preserve">Frais TTC : % des recharges payées</t>
  </si>
  <si>
    <t xml:space="preserve">closing:EVT-2026:operator-fee</t>
  </si>
  <si>
    <t xml:space="preserve">Frais TTC : par bracelet activé</t>
  </si>
  <si>
    <t xml:space="preserve">Frais facturés à l'organisateur (HT)</t>
  </si>
  <si>
    <t xml:space="preserve">Frais facturés à l'organisateur (taxe collectée)</t>
  </si>
  <si>
    <t xml:space="preserve">Redevance plateforme</t>
  </si>
  <si>
    <t xml:space="preserve">Redevance</t>
  </si>
  <si>
    <t xml:space="preserve">Redevance TTC sur les frais HT du prestataire</t>
  </si>
  <si>
    <t xml:space="preserve">closing:EVT-2026:platform-fee</t>
  </si>
  <si>
    <t xml:space="preserve">Redevance plateforme (HT)</t>
  </si>
  <si>
    <t xml:space="preserve">Redevance plateforme (taxe collectée)</t>
  </si>
  <si>
    <t xml:space="preserve">Versements initiés</t>
  </si>
  <si>
    <t xml:space="preserve">Versement</t>
  </si>
  <si>
    <t xml:space="preserve">Versement initié — Food truck</t>
  </si>
  <si>
    <t xml:space="preserve">payout-batch:2026-12-20</t>
  </si>
  <si>
    <t xml:space="preserve">Versement initié — Tee-shirts</t>
  </si>
  <si>
    <t xml:space="preserve">Versement initié — Bar interne → organisateur</t>
  </si>
  <si>
    <t xml:space="preserve">Versement initié — Prestataire (frais TTC − redevance)</t>
  </si>
  <si>
    <t xml:space="preserve">Versement initié — Plateforme (redevance TTC)</t>
  </si>
  <si>
    <t xml:space="preserve">Versements en cours (lot du 20/12)</t>
  </si>
  <si>
    <t xml:space="preserve">Versement confirmé</t>
  </si>
  <si>
    <t xml:space="preserve">Versement confirmé — Food truck</t>
  </si>
  <si>
    <t xml:space="preserve">bank:PAY-1001</t>
  </si>
  <si>
    <t xml:space="preserve">Versement échoué</t>
  </si>
  <si>
    <t xml:space="preserve">Échec : numéro mobile money invalide — Tee-shirts</t>
  </si>
  <si>
    <t xml:space="preserve">wave:PAY-1002:failed</t>
  </si>
  <si>
    <t xml:space="preserve">Échec : montant recrédité au commerçant</t>
  </si>
  <si>
    <t xml:space="preserve">Versement confirmé — Bar interne → organisateur</t>
  </si>
  <si>
    <t xml:space="preserve">bank:PAY-1003</t>
  </si>
  <si>
    <t xml:space="preserve">Versement confirmé — Prestataire</t>
  </si>
  <si>
    <t xml:space="preserve">bank:PAY-1004</t>
  </si>
  <si>
    <t xml:space="preserve">Versement confirmé — Plateforme</t>
  </si>
  <si>
    <t xml:space="preserve">bank:PAY-1005</t>
  </si>
  <si>
    <t xml:space="preserve">Versement initié</t>
  </si>
  <si>
    <t xml:space="preserve">Versement initié (2e tentative, numéro corrigé) — Tee-shirts</t>
  </si>
  <si>
    <t xml:space="preserve">payout:PAY-1006</t>
  </si>
  <si>
    <t xml:space="preserve">Versement en cours</t>
  </si>
  <si>
    <t xml:space="preserve">Versement confirmé — Tee-shirts</t>
  </si>
  <si>
    <t xml:space="preserve">wave:PAY-1006</t>
  </si>
  <si>
    <t xml:space="preserve">Remboursement</t>
  </si>
  <si>
    <t xml:space="preserve">Frais de remboursement TTC — Moussa</t>
  </si>
  <si>
    <t xml:space="preserve">refund:RF-0001</t>
  </si>
  <si>
    <t xml:space="preserve">Frais de remboursement — Moussa (HT)</t>
  </si>
  <si>
    <t xml:space="preserve">Frais de remboursement — Moussa (taxe collectée)</t>
  </si>
  <si>
    <t xml:space="preserve">Remboursement du solde — Moussa</t>
  </si>
  <si>
    <t xml:space="preserve">Virement mobile money — Moussa</t>
  </si>
  <si>
    <t xml:space="preserve">Frais de remboursement TTC — Fatou</t>
  </si>
  <si>
    <t xml:space="preserve">refund:RF-0002</t>
  </si>
  <si>
    <t xml:space="preserve">Frais de remboursement — Fatou (HT)</t>
  </si>
  <si>
    <t xml:space="preserve">Frais de remboursement — Fatou (taxe collectée)</t>
  </si>
  <si>
    <t xml:space="preserve">Remboursement du solde — Fatou</t>
  </si>
  <si>
    <t xml:space="preserve">Virement mobile money — Fatou</t>
  </si>
  <si>
    <t xml:space="preserve">Casse</t>
  </si>
  <si>
    <t xml:space="preserve">Solde non réclamé à l'échéance — Awa</t>
  </si>
  <si>
    <t xml:space="preserve">closing:EVT-2026:breakage</t>
  </si>
  <si>
    <t xml:space="preserve">Solde non réclamé à l'échéance — Aminata</t>
  </si>
  <si>
    <t xml:space="preserve">Casse — part de l'organisateur (contrat)</t>
  </si>
  <si>
    <t xml:space="preserve">Casse — part du prestataire (contrat)</t>
  </si>
  <si>
    <t xml:space="preserve">Caution acquise</t>
  </si>
  <si>
    <t xml:space="preserve">Bracelet jamais rendu à la clôture du lot — Jean</t>
  </si>
  <si>
    <t xml:space="preserve">deposit-forfeit:W04</t>
  </si>
  <si>
    <t xml:space="preserve">Caution acquise par l'organisateur</t>
  </si>
  <si>
    <t xml:space="preserve">Expiration crédits offerts</t>
  </si>
  <si>
    <t xml:space="preserve">Crédits offerts non utilisés — Ibou</t>
  </si>
  <si>
    <t xml:space="preserve">closing:EVT-2026:promo-expiry</t>
  </si>
  <si>
    <t xml:space="preserve">Annulation du financement non consommé</t>
  </si>
  <si>
    <t xml:space="preserve">Versement final initié — organisateur (droit net)</t>
  </si>
  <si>
    <t xml:space="preserve">payout-batch:2027-02-16</t>
  </si>
  <si>
    <t xml:space="preserve">Versement final initié — prestataire (part de casse)</t>
  </si>
  <si>
    <t xml:space="preserve">Versements en cours</t>
  </si>
  <si>
    <t xml:space="preserve">Versement confirmé — organisateur</t>
  </si>
  <si>
    <t xml:space="preserve">bank:PAY-1007</t>
  </si>
  <si>
    <t xml:space="preserve">Versement confirmé — prestataire</t>
  </si>
  <si>
    <t xml:space="preserve">bank:PAY-1008</t>
  </si>
  <si>
    <t xml:space="preserve">Totaux</t>
  </si>
  <si>
    <t xml:space="preserve">Grand livre — mouvements regroupés par compte</t>
  </si>
  <si>
    <t xml:space="preserve">Chaque ligne renvoie au Journal. Solde cumulé = débits − crédits (positif = débiteur). Disposition figée sur les lignes du scénario ; la Balance, elle, est entièrement dynamique.</t>
  </si>
  <si>
    <t xml:space="preserve">Compte / N° tx</t>
  </si>
  <si>
    <t xml:space="preserve">Date</t>
  </si>
  <si>
    <t xml:space="preserve">Débit</t>
  </si>
  <si>
    <t xml:space="preserve">Crédit</t>
  </si>
  <si>
    <t xml:space="preserve">Solde cumulé</t>
  </si>
  <si>
    <t xml:space="preserve">Total A-PSP-WAVE</t>
  </si>
  <si>
    <t xml:space="preserve">Total A-PSP-OM</t>
  </si>
  <si>
    <t xml:space="preserve">Total A-PSP-CARTE</t>
  </si>
  <si>
    <t xml:space="preserve">Total A-CAISSE-C1</t>
  </si>
  <si>
    <t xml:space="preserve">Total A-TRANSIT</t>
  </si>
  <si>
    <t xml:space="preserve">Total A-BANQUE</t>
  </si>
  <si>
    <t xml:space="preserve">Total L-WAL-W01-P</t>
  </si>
  <si>
    <t xml:space="preserve">Total L-WAL-W02-P</t>
  </si>
  <si>
    <t xml:space="preserve">Total L-WAL-W03-P</t>
  </si>
  <si>
    <t xml:space="preserve">Total L-WAL-W04-P</t>
  </si>
  <si>
    <t xml:space="preserve">Total L-WAL-W05-P</t>
  </si>
  <si>
    <t xml:space="preserve">Total L-WAL-W06-X</t>
  </si>
  <si>
    <t xml:space="preserve">Total L-MCH-BAR</t>
  </si>
  <si>
    <t xml:space="preserve">Total L-MCH-FOOD</t>
  </si>
  <si>
    <t xml:space="preserve">Total L-MCH-TEE</t>
  </si>
  <si>
    <t xml:space="preserve">Total L-ORG-COM</t>
  </si>
  <si>
    <t xml:space="preserve">Total L-ORG-PLACE</t>
  </si>
  <si>
    <t xml:space="preserve">Total L-ORG-FFEST</t>
  </si>
  <si>
    <t xml:space="preserve">Total L-ORG-TVA</t>
  </si>
  <si>
    <t xml:space="preserve">Total L-ORG-CASSE</t>
  </si>
  <si>
    <t xml:space="preserve">Total L-ORG-CAUTION</t>
  </si>
  <si>
    <t xml:space="preserve">Total L-ORG-CAUTION-ACQ</t>
  </si>
  <si>
    <t xml:space="preserve">Total L-ORG-PROMO</t>
  </si>
  <si>
    <t xml:space="preserve">Total L-ORG-FPSP</t>
  </si>
  <si>
    <t xml:space="preserve">Total L-ORG-FPREST</t>
  </si>
  <si>
    <t xml:space="preserve">Total L-ORG-PERTES</t>
  </si>
  <si>
    <t xml:space="preserve">Total L-ORG-VERS</t>
  </si>
  <si>
    <t xml:space="preserve">Total L-OPE-FRAIS</t>
  </si>
  <si>
    <t xml:space="preserve">Total L-OPE-TVA</t>
  </si>
  <si>
    <t xml:space="preserve">Total L-OPE-CASSE</t>
  </si>
  <si>
    <t xml:space="preserve">Total L-OPE-REDEV</t>
  </si>
  <si>
    <t xml:space="preserve">Total L-OPE-VERS</t>
  </si>
  <si>
    <t xml:space="preserve">Total L-PLT-REDEV</t>
  </si>
  <si>
    <t xml:space="preserve">Total L-PLT-TVA</t>
  </si>
  <si>
    <t xml:space="preserve">Total L-PLT-VERS</t>
  </si>
  <si>
    <t xml:space="preserve">Total L-VERS-ENCOURS</t>
  </si>
  <si>
    <t xml:space="preserve">Total S-ATTENTE</t>
  </si>
  <si>
    <t xml:space="preserve">Balance et contrôles</t>
  </si>
  <si>
    <t xml:space="preserve">Arrêtée à la transaction n° :</t>
  </si>
  <si>
    <t xml:space="preserve">Modifier dans Paramètres (ex. 23 = fin du festival, avant clôture).</t>
  </si>
  <si>
    <t xml:space="preserve">Total débit</t>
  </si>
  <si>
    <t xml:space="preserve">Total crédit</t>
  </si>
  <si>
    <t xml:space="preserve">Solde (D − C)</t>
  </si>
  <si>
    <t xml:space="preserve">Solde débiteur</t>
  </si>
  <si>
    <t xml:space="preserve">Solde créditeur</t>
  </si>
  <si>
    <t xml:space="preserve">Sens</t>
  </si>
  <si>
    <t xml:space="preserve">Contrôles</t>
  </si>
  <si>
    <t xml:space="preserve">Contrôle</t>
  </si>
  <si>
    <t xml:space="preserve">Attendu</t>
  </si>
  <si>
    <t xml:space="preserve">Résultat</t>
  </si>
  <si>
    <t xml:space="preserve">Total des débits = total des crédits (écart)</t>
  </si>
  <si>
    <t xml:space="preserve">Nombre de lignes de transactions déséquilibrées</t>
  </si>
  <si>
    <t xml:space="preserve">Argent détenu (comptes Argent)</t>
  </si>
  <si>
    <t xml:space="preserve">Info</t>
  </si>
  <si>
    <t xml:space="preserve">Droits sur le pool (comptes Droit + Attente)</t>
  </si>
  <si>
    <t xml:space="preserve">Écart argent − droits</t>
  </si>
  <si>
    <t xml:space="preserve">Comptes du mauvais côté (négatif interdit)</t>
  </si>
  <si>
    <t xml:space="preserve">0 à la clôture</t>
  </si>
  <si>
    <t xml:space="preserve">Comptes inconnus dans le journal</t>
  </si>
  <si>
    <t xml:space="preserve">Argent restant dans le pool</t>
  </si>
  <si>
    <t xml:space="preserve">0 si tout est clôturé</t>
  </si>
  <si>
    <t xml:space="preserve">Portefeuilles non soldés (droits des festivaliers)</t>
  </si>
  <si>
    <t xml:space="preserve">Versements initiés non confirmés</t>
  </si>
  <si>
    <t xml:space="preserve">0 quand tout est confirmé</t>
  </si>
  <si>
    <t xml:space="preserve">Lignes dont la clé d'idempotence sert à une autre transaction</t>
  </si>
  <si>
    <t xml:space="preserve">Droit net de chaque partie sur le pool</t>
  </si>
  <si>
    <t xml:space="preserve">Partie</t>
  </si>
  <si>
    <t xml:space="preserve">Droit net (XOF)</t>
  </si>
  <si>
    <t xml:space="preserve">Festivaliers (tous les portefeuilles)</t>
  </si>
  <si>
    <t xml:space="preserve">W*</t>
  </si>
  <si>
    <t xml:space="preserve">Tee-shirts</t>
  </si>
  <si>
    <t xml:space="preserve">Bar interne</t>
  </si>
  <si>
    <t xml:space="preserve">Organisateur (somme des L-ORG-*)</t>
  </si>
  <si>
    <t xml:space="preserve">Prestataire (somme des L-OPE-*)</t>
  </si>
  <si>
    <t xml:space="preserve">Plateforme (somme des L-PLT-*)</t>
  </si>
  <si>
    <t xml:space="preserve">Versements en cours et compte d'attente</t>
  </si>
  <si>
    <t xml:space="preserve">Total des droits (doit égaler l'argent détenu)</t>
  </si>
  <si>
    <t xml:space="preserve">Relevés par partie (arrêtés à la même transaction que la Balance)</t>
  </si>
  <si>
    <t xml:space="preserve">Calculés à partir du Journal par nature de ligne. Solde = ce que le pool doit encore à la partie.</t>
  </si>
  <si>
    <t xml:space="preserve">A. Commerçants</t>
  </si>
  <si>
    <t xml:space="preserve">Ligne</t>
  </si>
  <si>
    <t xml:space="preserve">Food truck (externe)</t>
  </si>
  <si>
    <t xml:space="preserve">Tee-shirts (externe)</t>
  </si>
  <si>
    <t xml:space="preserve">Bar (interne)</t>
  </si>
  <si>
    <t xml:space="preserve">Ventes brutes</t>
  </si>
  <si>
    <t xml:space="preserve">Annulations</t>
  </si>
  <si>
    <t xml:space="preserve">Commissions</t>
  </si>
  <si>
    <t xml:space="preserve">Versements échoués (recrédités)</t>
  </si>
  <si>
    <t xml:space="preserve">Solde dû au commerçant</t>
  </si>
  <si>
    <t xml:space="preserve">Contrôle : égal au solde de la Balance</t>
  </si>
  <si>
    <t xml:space="preserve">B. Festivaliers</t>
  </si>
  <si>
    <t xml:space="preserve">W01 Awa</t>
  </si>
  <si>
    <t xml:space="preserve">W02 Moussa</t>
  </si>
  <si>
    <t xml:space="preserve">W03 Fatou</t>
  </si>
  <si>
    <t xml:space="preserve">W04 Jean</t>
  </si>
  <si>
    <t xml:space="preserve">W05 Aminata</t>
  </si>
  <si>
    <t xml:space="preserve">W06 Ibou (offerts)</t>
  </si>
  <si>
    <t xml:space="preserve">Recharges</t>
  </si>
  <si>
    <t xml:space="preserve">Annulations recréditées</t>
  </si>
  <si>
    <t xml:space="preserve">Frais (activation, remboursement)</t>
  </si>
  <si>
    <t xml:space="preserve">Achats</t>
  </si>
  <si>
    <t xml:space="preserve">Caution prélevée (mode C)</t>
  </si>
  <si>
    <t xml:space="preserve">Caution rendue (mode C)</t>
  </si>
  <si>
    <t xml:space="preserve">Remboursé</t>
  </si>
  <si>
    <t xml:space="preserve">Crédits offerts expirés</t>
  </si>
  <si>
    <t xml:space="preserve">Solde du portefeuille</t>
  </si>
  <si>
    <t xml:space="preserve">C. Ce que gagne chaque partie</t>
  </si>
  <si>
    <t xml:space="preserve">Montant (XOF)</t>
  </si>
  <si>
    <t xml:space="preserve">Ventes du bar interne (nettes d'annulations)</t>
  </si>
  <si>
    <t xml:space="preserve">Frais festivaliers</t>
  </si>
  <si>
    <t xml:space="preserve">Taxe collectée, à reverser à l'État</t>
  </si>
  <si>
    <t xml:space="preserve">Casse (part de l'organisateur)</t>
  </si>
  <si>
    <t xml:space="preserve">Cautions détenues, encore à rendre</t>
  </si>
  <si>
    <t xml:space="preserve">Cautions acquises (bracelets non rendus)</t>
  </si>
  <si>
    <t xml:space="preserve">Crédits offerts consommés</t>
  </si>
  <si>
    <t xml:space="preserve">Frais du prestataire</t>
  </si>
  <si>
    <t xml:space="preserve">Pertes (fraude, écart de caisse)</t>
  </si>
  <si>
    <t xml:space="preserve">Droit net de l'organisateur (dont taxe à reverser)</t>
  </si>
  <si>
    <t xml:space="preserve">Reste à verser</t>
  </si>
  <si>
    <t xml:space="preserve">Frais facturés (HT)</t>
  </si>
  <si>
    <t xml:space="preserve">Taxe collectée, à reverser</t>
  </si>
  <si>
    <t xml:space="preserve">Part de casse (contrat)</t>
  </si>
  <si>
    <t xml:space="preserve">Droit net du prestataire</t>
  </si>
  <si>
    <t xml:space="preserve">Redevance (HT)</t>
  </si>
  <si>
    <t xml:space="preserve">Droit net de la plateforme</t>
  </si>
  <si>
    <t xml:space="preserve">Correspondance vers la comptabilité légale de l'organisateur (SYSCOHADA révisé)</t>
  </si>
  <si>
    <t xml:space="preserve">Numéros INDICATIFS, à valider par un expert-comptable. En base : table account_mapping (entité, purpose, type d'opération → compte légal).</t>
  </si>
  <si>
    <t xml:space="preserve">Opération du pool</t>
  </si>
  <si>
    <t xml:space="preserve">Débit (organisateur)</t>
  </si>
  <si>
    <t xml:space="preserve">Crédit (organisateur)</t>
  </si>
  <si>
    <t xml:space="preserve">Remarque</t>
  </si>
  <si>
    <t xml:space="preserve">Recharge mobile money / carte</t>
  </si>
  <si>
    <t xml:space="preserve">Créance sur PSP (classe 4) ou 585</t>
  </si>
  <si>
    <t xml:space="preserve">4191 Clients, avances et acomptes reçus</t>
  </si>
  <si>
    <t xml:space="preserve">Pas de chiffre d'affaires à la recharge</t>
  </si>
  <si>
    <t xml:space="preserve">Vente chez un commerçant externe</t>
  </si>
  <si>
    <t xml:space="preserve">Compte de tiers : fonds à reverser aux commerçants</t>
  </si>
  <si>
    <t xml:space="preserve">Pas de chiffre d'affaires pour l'organisateur</t>
  </si>
  <si>
    <t xml:space="preserve">Vente au bar interne</t>
  </si>
  <si>
    <t xml:space="preserve">701 / 706 Ventes + 443 TVA facturée</t>
  </si>
  <si>
    <t xml:space="preserve">Seul cas de vente propre</t>
  </si>
  <si>
    <t xml:space="preserve">Commission / droit de place</t>
  </si>
  <si>
    <t xml:space="preserve">Compte de tiers commerçant</t>
  </si>
  <si>
    <t xml:space="preserve">706 Services vendus + 443</t>
  </si>
  <si>
    <t xml:space="preserve">706 + 443</t>
  </si>
  <si>
    <t xml:space="preserve">Créance sur PSP</t>
  </si>
  <si>
    <t xml:space="preserve">Services extérieurs (classe 6) + 445 TVA récupérable</t>
  </si>
  <si>
    <t xml:space="preserve">401 Fournisseurs</t>
  </si>
  <si>
    <t xml:space="preserve">Facture du prestataire</t>
  </si>
  <si>
    <t xml:space="preserve">Communication, personnel…</t>
  </si>
  <si>
    <t xml:space="preserve">Pertes hors ligne / écart de caisse</t>
  </si>
  <si>
    <t xml:space="preserve">4191 / 571</t>
  </si>
  <si>
    <t xml:space="preserve">Produit (classe 7) pour la part de l'organisateur ; compte de tiers pour la part du prestataire</t>
  </si>
  <si>
    <t xml:space="preserve">Au terme du délai, si la loi le permet ; partage selon le contrat</t>
  </si>
  <si>
    <t xml:space="preserve">Caution encaissée (mode C ou D)</t>
  </si>
  <si>
    <t xml:space="preserve">4191 (mode C) ou 571 / créance PSP (mode D)</t>
  </si>
  <si>
    <t xml:space="preserve">Ce n'est pas un produit tant que le bracelet peut être rendu</t>
  </si>
  <si>
    <t xml:space="preserve">Caution acquise (bracelet non rendu)</t>
  </si>
  <si>
    <t xml:space="preserve">Dépôts et cautionnements reçus</t>
  </si>
  <si>
    <t xml:space="preserve">Produit (classe 7)</t>
  </si>
  <si>
    <t xml:space="preserve">Traitement TVA à confirmer</t>
  </si>
  <si>
    <t xml:space="preserve">Taxe collectée sur frais et commissions</t>
  </si>
  <si>
    <t xml:space="preserve">(inclus dans le TTC ci-dessus)</t>
  </si>
  <si>
    <t xml:space="preserve">Déclarée et reversée par l'organisateur</t>
  </si>
  <si>
    <t xml:space="preserve">Versement initié à un commerçant</t>
  </si>
  <si>
    <t xml:space="preserve">Versements en cours (compte de tiers transitoire)</t>
  </si>
  <si>
    <t xml:space="preserve">Un échec contre-passe l'écriture d'initiation</t>
  </si>
  <si>
    <t xml:space="preserve">Remboursement d'un festivalier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</si>
</sst>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#,##0"/>
    <numFmt numFmtId="168" formatCode="0"/>
    <numFmt numFmtId="169" formatCode="\T00"/>
    <numFmt numFmtId="170" formatCode="dd/mm/yyyy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30" hidden="false" customHeight="true" outlineLevel="0" collapsed="false">
      <c r="A3" s="3" t="s">
        <v>1</v>
      </c>
      <c r="B3" s="4" t="s">
        <v>2</v>
      </c>
    </row>
    <row r="4" customFormat="false" ht="30" hidden="false" customHeight="true" outlineLevel="0" collapsed="false">
      <c r="A4" s="3" t="s">
        <v>3</v>
      </c>
      <c r="B4" s="4" t="s">
        <v>4</v>
      </c>
    </row>
    <row r="5" customFormat="false" ht="30" hidden="false" customHeight="true" outlineLevel="0" collapsed="false">
      <c r="A5" s="3" t="s">
        <v>5</v>
      </c>
      <c r="B5" s="4" t="s">
        <v>6</v>
      </c>
    </row>
    <row r="6" customFormat="false" ht="30" hidden="false" customHeight="true" outlineLevel="0" collapsed="false">
      <c r="A6" s="3" t="s">
        <v>7</v>
      </c>
      <c r="B6" s="4" t="s">
        <v>8</v>
      </c>
    </row>
    <row r="7" customFormat="false" ht="30" hidden="false" customHeight="true" outlineLevel="0" collapsed="false">
      <c r="A7" s="3" t="s">
        <v>9</v>
      </c>
      <c r="B7" s="4" t="s">
        <v>10</v>
      </c>
    </row>
    <row r="8" customFormat="false" ht="30" hidden="false" customHeight="true" outlineLevel="0" collapsed="false">
      <c r="A8" s="3" t="s">
        <v>11</v>
      </c>
      <c r="B8" s="4" t="s">
        <v>12</v>
      </c>
    </row>
    <row r="9" customFormat="false" ht="30" hidden="false" customHeight="true" outlineLevel="0" collapsed="false">
      <c r="A9" s="3" t="s">
        <v>13</v>
      </c>
      <c r="B9" s="4" t="s">
        <v>14</v>
      </c>
    </row>
    <row r="10" customFormat="false" ht="30" hidden="false" customHeight="true" outlineLevel="0" collapsed="false">
      <c r="A10" s="3" t="s">
        <v>15</v>
      </c>
      <c r="B10" s="4" t="s">
        <v>16</v>
      </c>
    </row>
    <row r="11" customFormat="false" ht="30" hidden="false" customHeight="true" outlineLevel="0" collapsed="false">
      <c r="A11" s="3" t="s">
        <v>17</v>
      </c>
      <c r="B11" s="4" t="s">
        <v>18</v>
      </c>
    </row>
    <row r="12" customFormat="false" ht="30" hidden="false" customHeight="true" outlineLevel="0" collapsed="false">
      <c r="A12" s="3" t="s">
        <v>19</v>
      </c>
      <c r="B12" s="4" t="s">
        <v>20</v>
      </c>
    </row>
    <row r="13" customFormat="false" ht="30" hidden="false" customHeight="true" outlineLevel="0" collapsed="false">
      <c r="A13" s="3" t="s">
        <v>21</v>
      </c>
      <c r="B13" s="4" t="s">
        <v>22</v>
      </c>
    </row>
    <row r="14" customFormat="false" ht="30" hidden="false" customHeight="true" outlineLevel="0" collapsed="false">
      <c r="A14" s="3" t="s">
        <v>23</v>
      </c>
      <c r="B14" s="4" t="s">
        <v>24</v>
      </c>
    </row>
    <row r="15" customFormat="false" ht="30" hidden="false" customHeight="true" outlineLevel="0" collapsed="false">
      <c r="A15" s="3" t="s">
        <v>25</v>
      </c>
      <c r="B15" s="4" t="s">
        <v>26</v>
      </c>
    </row>
    <row r="16" customFormat="false" ht="30" hidden="false" customHeight="true" outlineLevel="0" collapsed="false">
      <c r="A16" s="3" t="s">
        <v>27</v>
      </c>
      <c r="B16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29</v>
      </c>
      <c r="B1" s="2"/>
      <c r="C1" s="2"/>
      <c r="D1" s="2"/>
    </row>
    <row r="2" customFormat="false" ht="15" hidden="false" customHeight="false" outlineLevel="0" collapsed="false">
      <c r="A2" s="5" t="s">
        <v>30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 t="s">
        <v>31</v>
      </c>
      <c r="B4" s="6" t="s">
        <v>32</v>
      </c>
      <c r="C4" s="6" t="s">
        <v>33</v>
      </c>
      <c r="D4" s="6" t="s">
        <v>34</v>
      </c>
    </row>
    <row r="5" customFormat="false" ht="15" hidden="false" customHeight="false" outlineLevel="0" collapsed="false">
      <c r="A5" s="7" t="s">
        <v>35</v>
      </c>
      <c r="B5" s="7" t="s">
        <v>36</v>
      </c>
      <c r="C5" s="8" t="s">
        <v>37</v>
      </c>
      <c r="D5" s="5" t="s">
        <v>38</v>
      </c>
    </row>
    <row r="6" customFormat="false" ht="15" hidden="false" customHeight="false" outlineLevel="0" collapsed="false">
      <c r="A6" s="7" t="s">
        <v>39</v>
      </c>
      <c r="B6" s="7" t="s">
        <v>40</v>
      </c>
      <c r="C6" s="9" t="n">
        <v>0.01</v>
      </c>
      <c r="D6" s="5" t="s">
        <v>41</v>
      </c>
    </row>
    <row r="7" customFormat="false" ht="15" hidden="false" customHeight="false" outlineLevel="0" collapsed="false">
      <c r="A7" s="7" t="s">
        <v>42</v>
      </c>
      <c r="B7" s="7" t="s">
        <v>40</v>
      </c>
      <c r="C7" s="9" t="n">
        <v>0.015</v>
      </c>
      <c r="D7" s="5" t="s">
        <v>43</v>
      </c>
    </row>
    <row r="8" customFormat="false" ht="15" hidden="false" customHeight="false" outlineLevel="0" collapsed="false">
      <c r="A8" s="7" t="s">
        <v>44</v>
      </c>
      <c r="B8" s="7" t="s">
        <v>40</v>
      </c>
      <c r="C8" s="9" t="n">
        <v>0.025</v>
      </c>
      <c r="D8" s="5" t="s">
        <v>43</v>
      </c>
    </row>
    <row r="9" customFormat="false" ht="15" hidden="false" customHeight="false" outlineLevel="0" collapsed="false">
      <c r="A9" s="7" t="s">
        <v>45</v>
      </c>
      <c r="B9" s="7" t="s">
        <v>46</v>
      </c>
      <c r="C9" s="8" t="s">
        <v>47</v>
      </c>
      <c r="D9" s="5" t="s">
        <v>48</v>
      </c>
    </row>
    <row r="10" customFormat="false" ht="15" hidden="false" customHeight="false" outlineLevel="0" collapsed="false">
      <c r="A10" s="7" t="s">
        <v>49</v>
      </c>
      <c r="B10" s="7" t="s">
        <v>36</v>
      </c>
      <c r="C10" s="10" t="n">
        <v>1000</v>
      </c>
      <c r="D10" s="5" t="s">
        <v>50</v>
      </c>
    </row>
    <row r="11" customFormat="false" ht="15" hidden="false" customHeight="false" outlineLevel="0" collapsed="false">
      <c r="A11" s="7" t="s">
        <v>51</v>
      </c>
      <c r="B11" s="7" t="s">
        <v>52</v>
      </c>
      <c r="C11" s="10" t="n">
        <v>500</v>
      </c>
      <c r="D11" s="5" t="s">
        <v>53</v>
      </c>
    </row>
    <row r="12" customFormat="false" ht="15" hidden="false" customHeight="false" outlineLevel="0" collapsed="false">
      <c r="A12" s="7" t="s">
        <v>54</v>
      </c>
      <c r="B12" s="7" t="s">
        <v>55</v>
      </c>
      <c r="C12" s="9" t="n">
        <v>0.12</v>
      </c>
      <c r="D12" s="5" t="s">
        <v>56</v>
      </c>
    </row>
    <row r="13" customFormat="false" ht="15" hidden="false" customHeight="false" outlineLevel="0" collapsed="false">
      <c r="A13" s="7" t="s">
        <v>57</v>
      </c>
      <c r="B13" s="7" t="s">
        <v>55</v>
      </c>
      <c r="C13" s="9" t="n">
        <v>0.1</v>
      </c>
      <c r="D13" s="5" t="s">
        <v>56</v>
      </c>
    </row>
    <row r="14" customFormat="false" ht="15" hidden="false" customHeight="false" outlineLevel="0" collapsed="false">
      <c r="A14" s="7" t="s">
        <v>58</v>
      </c>
      <c r="B14" s="7" t="s">
        <v>55</v>
      </c>
      <c r="C14" s="9" t="n">
        <v>0</v>
      </c>
      <c r="D14" s="5" t="s">
        <v>59</v>
      </c>
    </row>
    <row r="15" customFormat="false" ht="15" hidden="false" customHeight="false" outlineLevel="0" collapsed="false">
      <c r="A15" s="7" t="s">
        <v>60</v>
      </c>
      <c r="B15" s="7" t="s">
        <v>55</v>
      </c>
      <c r="C15" s="10" t="n">
        <v>15000</v>
      </c>
      <c r="D15" s="5" t="s">
        <v>61</v>
      </c>
    </row>
    <row r="16" customFormat="false" ht="15" hidden="false" customHeight="false" outlineLevel="0" collapsed="false">
      <c r="A16" s="7" t="s">
        <v>62</v>
      </c>
      <c r="B16" s="7" t="s">
        <v>55</v>
      </c>
      <c r="C16" s="10" t="n">
        <v>10000</v>
      </c>
      <c r="D16" s="5" t="s">
        <v>61</v>
      </c>
    </row>
    <row r="17" customFormat="false" ht="15" hidden="false" customHeight="false" outlineLevel="0" collapsed="false">
      <c r="A17" s="7" t="s">
        <v>63</v>
      </c>
      <c r="B17" s="7" t="s">
        <v>64</v>
      </c>
      <c r="C17" s="9" t="n">
        <v>0.03</v>
      </c>
      <c r="D17" s="5" t="s">
        <v>65</v>
      </c>
    </row>
    <row r="18" customFormat="false" ht="15" hidden="false" customHeight="false" outlineLevel="0" collapsed="false">
      <c r="A18" s="7" t="s">
        <v>66</v>
      </c>
      <c r="B18" s="7" t="s">
        <v>64</v>
      </c>
      <c r="C18" s="10" t="n">
        <v>500</v>
      </c>
      <c r="D18" s="5" t="s">
        <v>67</v>
      </c>
    </row>
    <row r="19" customFormat="false" ht="15" hidden="false" customHeight="false" outlineLevel="0" collapsed="false">
      <c r="A19" s="7" t="s">
        <v>68</v>
      </c>
      <c r="B19" s="7" t="s">
        <v>69</v>
      </c>
      <c r="C19" s="11" t="n">
        <f aca="false">COUNTA(Entités!A15:A20)</f>
        <v>6</v>
      </c>
      <c r="D19" s="5" t="s">
        <v>70</v>
      </c>
    </row>
    <row r="20" customFormat="false" ht="15" hidden="false" customHeight="false" outlineLevel="0" collapsed="false">
      <c r="A20" s="7" t="s">
        <v>71</v>
      </c>
      <c r="B20" s="7" t="s">
        <v>72</v>
      </c>
      <c r="C20" s="9" t="n">
        <v>0.2</v>
      </c>
      <c r="D20" s="5" t="s">
        <v>73</v>
      </c>
    </row>
    <row r="21" customFormat="false" ht="15" hidden="false" customHeight="false" outlineLevel="0" collapsed="false">
      <c r="A21" s="7" t="s">
        <v>74</v>
      </c>
      <c r="B21" s="7" t="s">
        <v>75</v>
      </c>
      <c r="C21" s="9" t="n">
        <v>0.18</v>
      </c>
      <c r="D21" s="5" t="s">
        <v>76</v>
      </c>
    </row>
    <row r="22" customFormat="false" ht="15" hidden="false" customHeight="false" outlineLevel="0" collapsed="false">
      <c r="A22" s="7" t="s">
        <v>77</v>
      </c>
      <c r="B22" s="7" t="s">
        <v>78</v>
      </c>
      <c r="C22" s="9" t="n">
        <v>0.8</v>
      </c>
      <c r="D22" s="5" t="s">
        <v>79</v>
      </c>
    </row>
    <row r="23" customFormat="false" ht="15" hidden="false" customHeight="false" outlineLevel="0" collapsed="false">
      <c r="A23" s="7" t="s">
        <v>80</v>
      </c>
      <c r="B23" s="7" t="s">
        <v>81</v>
      </c>
      <c r="C23" s="10" t="n">
        <v>2000</v>
      </c>
      <c r="D23" s="5" t="s">
        <v>82</v>
      </c>
    </row>
    <row r="24" customFormat="false" ht="15" hidden="false" customHeight="false" outlineLevel="0" collapsed="false">
      <c r="A24" s="7" t="s">
        <v>83</v>
      </c>
      <c r="B24" s="7" t="s">
        <v>84</v>
      </c>
      <c r="C24" s="10" t="n">
        <v>36800</v>
      </c>
      <c r="D24" s="5" t="s">
        <v>85</v>
      </c>
    </row>
    <row r="25" customFormat="false" ht="15" hidden="false" customHeight="false" outlineLevel="0" collapsed="false">
      <c r="A25" s="7" t="s">
        <v>86</v>
      </c>
      <c r="B25" s="7" t="s">
        <v>87</v>
      </c>
      <c r="C25" s="12"/>
      <c r="D25" s="5" t="s">
        <v>88</v>
      </c>
    </row>
    <row r="26" customFormat="false" ht="15" hidden="false" customHeight="false" outlineLevel="0" collapsed="false">
      <c r="A26" s="3" t="s">
        <v>89</v>
      </c>
      <c r="B26" s="2"/>
      <c r="C26" s="3" t="n">
        <f aca="false">IF($C$25="",MAX(Journal!$A$5:$A$500),$C$25)</f>
        <v>48</v>
      </c>
      <c r="D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90</v>
      </c>
      <c r="B1" s="2"/>
      <c r="C1" s="2"/>
      <c r="D1" s="2"/>
      <c r="E1" s="2"/>
    </row>
    <row r="2" customFormat="false" ht="15" hidden="false" customHeight="false" outlineLevel="0" collapsed="false">
      <c r="A2" s="5" t="s">
        <v>91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6" t="s">
        <v>92</v>
      </c>
      <c r="B4" s="6" t="s">
        <v>93</v>
      </c>
      <c r="C4" s="6" t="s">
        <v>94</v>
      </c>
      <c r="D4" s="6" t="s">
        <v>95</v>
      </c>
      <c r="E4" s="6" t="s">
        <v>96</v>
      </c>
    </row>
    <row r="5" customFormat="false" ht="15" hidden="false" customHeight="false" outlineLevel="0" collapsed="false">
      <c r="A5" s="7" t="s">
        <v>97</v>
      </c>
      <c r="B5" s="7" t="s">
        <v>98</v>
      </c>
      <c r="C5" s="7" t="s">
        <v>99</v>
      </c>
      <c r="D5" s="7" t="s">
        <v>100</v>
      </c>
      <c r="E5" s="7" t="s">
        <v>101</v>
      </c>
    </row>
    <row r="6" customFormat="false" ht="15" hidden="false" customHeight="false" outlineLevel="0" collapsed="false">
      <c r="A6" s="7" t="s">
        <v>102</v>
      </c>
      <c r="B6" s="7" t="s">
        <v>103</v>
      </c>
      <c r="C6" s="7" t="s">
        <v>104</v>
      </c>
      <c r="D6" s="7" t="s">
        <v>97</v>
      </c>
      <c r="E6" s="7" t="s">
        <v>105</v>
      </c>
    </row>
    <row r="7" customFormat="false" ht="15" hidden="false" customHeight="false" outlineLevel="0" collapsed="false">
      <c r="A7" s="7" t="s">
        <v>106</v>
      </c>
      <c r="B7" s="7" t="s">
        <v>107</v>
      </c>
      <c r="C7" s="7" t="s">
        <v>108</v>
      </c>
      <c r="D7" s="7" t="s">
        <v>102</v>
      </c>
      <c r="E7" s="7" t="s">
        <v>109</v>
      </c>
    </row>
    <row r="8" customFormat="false" ht="15" hidden="false" customHeight="false" outlineLevel="0" collapsed="false">
      <c r="A8" s="7" t="s">
        <v>110</v>
      </c>
      <c r="B8" s="7" t="s">
        <v>36</v>
      </c>
      <c r="C8" s="7" t="s">
        <v>111</v>
      </c>
      <c r="D8" s="7" t="s">
        <v>106</v>
      </c>
      <c r="E8" s="7" t="s">
        <v>112</v>
      </c>
    </row>
    <row r="9" customFormat="false" ht="15" hidden="false" customHeight="false" outlineLevel="0" collapsed="false">
      <c r="A9" s="7" t="s">
        <v>113</v>
      </c>
      <c r="B9" s="7" t="s">
        <v>114</v>
      </c>
      <c r="C9" s="7" t="s">
        <v>115</v>
      </c>
      <c r="D9" s="7" t="s">
        <v>116</v>
      </c>
      <c r="E9" s="7" t="s">
        <v>117</v>
      </c>
    </row>
    <row r="10" customFormat="false" ht="15" hidden="false" customHeight="false" outlineLevel="0" collapsed="false">
      <c r="A10" s="7" t="s">
        <v>118</v>
      </c>
      <c r="B10" s="7" t="s">
        <v>56</v>
      </c>
      <c r="C10" s="7" t="s">
        <v>119</v>
      </c>
      <c r="D10" s="7" t="s">
        <v>120</v>
      </c>
      <c r="E10" s="7" t="s">
        <v>121</v>
      </c>
    </row>
    <row r="11" customFormat="false" ht="15" hidden="false" customHeight="false" outlineLevel="0" collapsed="false">
      <c r="A11" s="7" t="s">
        <v>122</v>
      </c>
      <c r="B11" s="7" t="s">
        <v>56</v>
      </c>
      <c r="C11" s="7" t="s">
        <v>123</v>
      </c>
      <c r="D11" s="7" t="s">
        <v>120</v>
      </c>
      <c r="E11" s="7" t="s">
        <v>124</v>
      </c>
    </row>
    <row r="12" customFormat="false" ht="15" hidden="false" customHeight="false" outlineLevel="0" collapsed="false">
      <c r="A12" s="7" t="s">
        <v>125</v>
      </c>
      <c r="B12" s="7" t="s">
        <v>126</v>
      </c>
      <c r="C12" s="7" t="s">
        <v>127</v>
      </c>
      <c r="D12" s="7" t="s">
        <v>110</v>
      </c>
      <c r="E12" s="7" t="s">
        <v>128</v>
      </c>
    </row>
    <row r="13" customFormat="false" ht="15" hidden="false" customHeight="false" outlineLevel="0" collapsed="false">
      <c r="A13" s="3" t="s">
        <v>129</v>
      </c>
      <c r="B13" s="2"/>
      <c r="C13" s="2"/>
      <c r="D13" s="2"/>
      <c r="E13" s="2"/>
    </row>
    <row r="14" customFormat="false" ht="15" hidden="false" customHeight="false" outlineLevel="0" collapsed="false">
      <c r="A14" s="6" t="s">
        <v>130</v>
      </c>
      <c r="B14" s="6" t="s">
        <v>131</v>
      </c>
      <c r="C14" s="6" t="s">
        <v>132</v>
      </c>
      <c r="D14" s="6" t="s">
        <v>133</v>
      </c>
      <c r="E14" s="6" t="s">
        <v>134</v>
      </c>
    </row>
    <row r="15" customFormat="false" ht="15" hidden="false" customHeight="false" outlineLevel="0" collapsed="false">
      <c r="A15" s="7" t="s">
        <v>135</v>
      </c>
      <c r="B15" s="7" t="s">
        <v>136</v>
      </c>
      <c r="C15" s="7" t="s">
        <v>137</v>
      </c>
      <c r="D15" s="7" t="s">
        <v>100</v>
      </c>
      <c r="E15" s="7" t="s">
        <v>138</v>
      </c>
    </row>
    <row r="16" customFormat="false" ht="15" hidden="false" customHeight="false" outlineLevel="0" collapsed="false">
      <c r="A16" s="7" t="s">
        <v>139</v>
      </c>
      <c r="B16" s="7" t="s">
        <v>140</v>
      </c>
      <c r="C16" s="7" t="s">
        <v>141</v>
      </c>
      <c r="D16" s="7" t="s">
        <v>100</v>
      </c>
      <c r="E16" s="7" t="s">
        <v>142</v>
      </c>
    </row>
    <row r="17" customFormat="false" ht="15" hidden="false" customHeight="false" outlineLevel="0" collapsed="false">
      <c r="A17" s="7" t="s">
        <v>143</v>
      </c>
      <c r="B17" s="7" t="s">
        <v>144</v>
      </c>
      <c r="C17" s="7" t="s">
        <v>145</v>
      </c>
      <c r="D17" s="7" t="s">
        <v>100</v>
      </c>
      <c r="E17" s="7" t="s">
        <v>146</v>
      </c>
    </row>
    <row r="18" customFormat="false" ht="15" hidden="false" customHeight="false" outlineLevel="0" collapsed="false">
      <c r="A18" s="7" t="s">
        <v>147</v>
      </c>
      <c r="B18" s="7" t="s">
        <v>148</v>
      </c>
      <c r="C18" s="7" t="s">
        <v>149</v>
      </c>
      <c r="D18" s="7" t="s">
        <v>100</v>
      </c>
      <c r="E18" s="7" t="s">
        <v>150</v>
      </c>
    </row>
    <row r="19" customFormat="false" ht="15" hidden="false" customHeight="false" outlineLevel="0" collapsed="false">
      <c r="A19" s="7" t="s">
        <v>151</v>
      </c>
      <c r="B19" s="7" t="s">
        <v>152</v>
      </c>
      <c r="C19" s="7" t="s">
        <v>153</v>
      </c>
      <c r="D19" s="7" t="s">
        <v>100</v>
      </c>
      <c r="E19" s="7" t="s">
        <v>154</v>
      </c>
    </row>
    <row r="20" customFormat="false" ht="15" hidden="false" customHeight="false" outlineLevel="0" collapsed="false">
      <c r="A20" s="7" t="s">
        <v>155</v>
      </c>
      <c r="B20" s="7" t="s">
        <v>156</v>
      </c>
      <c r="C20" s="7" t="s">
        <v>100</v>
      </c>
      <c r="D20" s="7" t="s">
        <v>157</v>
      </c>
      <c r="E20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159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160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6" t="s">
        <v>92</v>
      </c>
      <c r="B4" s="6" t="s">
        <v>161</v>
      </c>
      <c r="C4" s="6" t="s">
        <v>162</v>
      </c>
      <c r="D4" s="6" t="s">
        <v>163</v>
      </c>
      <c r="E4" s="6" t="s">
        <v>164</v>
      </c>
      <c r="F4" s="6" t="s">
        <v>165</v>
      </c>
      <c r="G4" s="6" t="s">
        <v>166</v>
      </c>
      <c r="H4" s="6" t="s">
        <v>167</v>
      </c>
    </row>
    <row r="5" customFormat="false" ht="15" hidden="false" customHeight="false" outlineLevel="0" collapsed="false">
      <c r="A5" s="7" t="s">
        <v>168</v>
      </c>
      <c r="B5" s="7" t="s">
        <v>169</v>
      </c>
      <c r="C5" s="7" t="s">
        <v>170</v>
      </c>
      <c r="D5" s="7" t="s">
        <v>106</v>
      </c>
      <c r="E5" s="7" t="s">
        <v>171</v>
      </c>
      <c r="F5" s="7" t="s">
        <v>172</v>
      </c>
      <c r="G5" s="7" t="s">
        <v>173</v>
      </c>
      <c r="H5" s="7" t="s">
        <v>174</v>
      </c>
    </row>
    <row r="6" customFormat="false" ht="15" hidden="false" customHeight="false" outlineLevel="0" collapsed="false">
      <c r="A6" s="7" t="s">
        <v>175</v>
      </c>
      <c r="B6" s="7" t="s">
        <v>176</v>
      </c>
      <c r="C6" s="7" t="s">
        <v>170</v>
      </c>
      <c r="D6" s="7" t="s">
        <v>106</v>
      </c>
      <c r="E6" s="7" t="s">
        <v>171</v>
      </c>
      <c r="F6" s="7" t="s">
        <v>172</v>
      </c>
      <c r="G6" s="7" t="s">
        <v>173</v>
      </c>
      <c r="H6" s="7" t="s">
        <v>174</v>
      </c>
    </row>
    <row r="7" customFormat="false" ht="15" hidden="false" customHeight="false" outlineLevel="0" collapsed="false">
      <c r="A7" s="7" t="s">
        <v>177</v>
      </c>
      <c r="B7" s="7" t="s">
        <v>178</v>
      </c>
      <c r="C7" s="7" t="s">
        <v>170</v>
      </c>
      <c r="D7" s="7" t="s">
        <v>106</v>
      </c>
      <c r="E7" s="7" t="s">
        <v>171</v>
      </c>
      <c r="F7" s="7" t="s">
        <v>172</v>
      </c>
      <c r="G7" s="7" t="s">
        <v>173</v>
      </c>
      <c r="H7" s="7" t="s">
        <v>174</v>
      </c>
    </row>
    <row r="8" customFormat="false" ht="15" hidden="false" customHeight="false" outlineLevel="0" collapsed="false">
      <c r="A8" s="7" t="s">
        <v>179</v>
      </c>
      <c r="B8" s="7" t="s">
        <v>180</v>
      </c>
      <c r="C8" s="7" t="s">
        <v>170</v>
      </c>
      <c r="D8" s="7" t="s">
        <v>106</v>
      </c>
      <c r="E8" s="7" t="s">
        <v>171</v>
      </c>
      <c r="F8" s="7" t="s">
        <v>172</v>
      </c>
      <c r="G8" s="7" t="s">
        <v>181</v>
      </c>
      <c r="H8" s="7" t="s">
        <v>182</v>
      </c>
    </row>
    <row r="9" customFormat="false" ht="15" hidden="false" customHeight="false" outlineLevel="0" collapsed="false">
      <c r="A9" s="7" t="s">
        <v>183</v>
      </c>
      <c r="B9" s="7" t="s">
        <v>184</v>
      </c>
      <c r="C9" s="7" t="s">
        <v>170</v>
      </c>
      <c r="D9" s="7" t="s">
        <v>106</v>
      </c>
      <c r="E9" s="7" t="s">
        <v>171</v>
      </c>
      <c r="F9" s="7" t="s">
        <v>172</v>
      </c>
      <c r="G9" s="7" t="s">
        <v>185</v>
      </c>
      <c r="H9" s="7" t="s">
        <v>186</v>
      </c>
    </row>
    <row r="10" customFormat="false" ht="15" hidden="false" customHeight="false" outlineLevel="0" collapsed="false">
      <c r="A10" s="7" t="s">
        <v>187</v>
      </c>
      <c r="B10" s="7" t="s">
        <v>188</v>
      </c>
      <c r="C10" s="7" t="s">
        <v>170</v>
      </c>
      <c r="D10" s="7" t="s">
        <v>106</v>
      </c>
      <c r="E10" s="7" t="s">
        <v>171</v>
      </c>
      <c r="F10" s="7" t="s">
        <v>172</v>
      </c>
      <c r="G10" s="7" t="s">
        <v>189</v>
      </c>
      <c r="H10" s="7" t="s">
        <v>190</v>
      </c>
    </row>
    <row r="11" customFormat="false" ht="15" hidden="false" customHeight="false" outlineLevel="0" collapsed="false">
      <c r="A11" s="7" t="s">
        <v>137</v>
      </c>
      <c r="B11" s="7" t="s">
        <v>191</v>
      </c>
      <c r="C11" s="7" t="s">
        <v>192</v>
      </c>
      <c r="D11" s="7" t="s">
        <v>135</v>
      </c>
      <c r="E11" s="7" t="s">
        <v>193</v>
      </c>
      <c r="F11" s="7" t="s">
        <v>172</v>
      </c>
      <c r="G11" s="7" t="s">
        <v>194</v>
      </c>
      <c r="H11" s="7" t="s">
        <v>195</v>
      </c>
    </row>
    <row r="12" customFormat="false" ht="15" hidden="false" customHeight="false" outlineLevel="0" collapsed="false">
      <c r="A12" s="7" t="s">
        <v>141</v>
      </c>
      <c r="B12" s="7" t="s">
        <v>196</v>
      </c>
      <c r="C12" s="7" t="s">
        <v>192</v>
      </c>
      <c r="D12" s="7" t="s">
        <v>139</v>
      </c>
      <c r="E12" s="7" t="s">
        <v>193</v>
      </c>
      <c r="F12" s="7" t="s">
        <v>172</v>
      </c>
      <c r="G12" s="7" t="s">
        <v>194</v>
      </c>
      <c r="H12" s="7" t="s">
        <v>197</v>
      </c>
    </row>
    <row r="13" customFormat="false" ht="15" hidden="false" customHeight="false" outlineLevel="0" collapsed="false">
      <c r="A13" s="7" t="s">
        <v>145</v>
      </c>
      <c r="B13" s="7" t="s">
        <v>198</v>
      </c>
      <c r="C13" s="7" t="s">
        <v>192</v>
      </c>
      <c r="D13" s="7" t="s">
        <v>143</v>
      </c>
      <c r="E13" s="7" t="s">
        <v>193</v>
      </c>
      <c r="F13" s="7" t="s">
        <v>172</v>
      </c>
      <c r="G13" s="7" t="s">
        <v>194</v>
      </c>
      <c r="H13" s="7" t="s">
        <v>197</v>
      </c>
    </row>
    <row r="14" customFormat="false" ht="15" hidden="false" customHeight="false" outlineLevel="0" collapsed="false">
      <c r="A14" s="7" t="s">
        <v>149</v>
      </c>
      <c r="B14" s="7" t="s">
        <v>199</v>
      </c>
      <c r="C14" s="7" t="s">
        <v>192</v>
      </c>
      <c r="D14" s="7" t="s">
        <v>147</v>
      </c>
      <c r="E14" s="7" t="s">
        <v>193</v>
      </c>
      <c r="F14" s="7" t="s">
        <v>172</v>
      </c>
      <c r="G14" s="7" t="s">
        <v>194</v>
      </c>
      <c r="H14" s="7" t="s">
        <v>197</v>
      </c>
    </row>
    <row r="15" customFormat="false" ht="15" hidden="false" customHeight="false" outlineLevel="0" collapsed="false">
      <c r="A15" s="7" t="s">
        <v>153</v>
      </c>
      <c r="B15" s="7" t="s">
        <v>200</v>
      </c>
      <c r="C15" s="7" t="s">
        <v>192</v>
      </c>
      <c r="D15" s="7" t="s">
        <v>151</v>
      </c>
      <c r="E15" s="7" t="s">
        <v>193</v>
      </c>
      <c r="F15" s="7" t="s">
        <v>172</v>
      </c>
      <c r="G15" s="7" t="s">
        <v>194</v>
      </c>
      <c r="H15" s="7" t="s">
        <v>197</v>
      </c>
    </row>
    <row r="16" customFormat="false" ht="15" hidden="false" customHeight="false" outlineLevel="0" collapsed="false">
      <c r="A16" s="7" t="s">
        <v>157</v>
      </c>
      <c r="B16" s="7" t="s">
        <v>201</v>
      </c>
      <c r="C16" s="7" t="s">
        <v>192</v>
      </c>
      <c r="D16" s="7" t="s">
        <v>155</v>
      </c>
      <c r="E16" s="7" t="s">
        <v>193</v>
      </c>
      <c r="F16" s="7" t="s">
        <v>172</v>
      </c>
      <c r="G16" s="7" t="s">
        <v>202</v>
      </c>
      <c r="H16" s="7" t="s">
        <v>203</v>
      </c>
    </row>
    <row r="17" customFormat="false" ht="15" hidden="false" customHeight="false" outlineLevel="0" collapsed="false">
      <c r="A17" s="7" t="s">
        <v>204</v>
      </c>
      <c r="B17" s="7" t="s">
        <v>205</v>
      </c>
      <c r="C17" s="7" t="s">
        <v>192</v>
      </c>
      <c r="D17" s="7" t="s">
        <v>113</v>
      </c>
      <c r="E17" s="7" t="s">
        <v>193</v>
      </c>
      <c r="F17" s="7" t="s">
        <v>206</v>
      </c>
      <c r="G17" s="7" t="s">
        <v>207</v>
      </c>
      <c r="H17" s="7" t="s">
        <v>208</v>
      </c>
    </row>
    <row r="18" customFormat="false" ht="15" hidden="false" customHeight="false" outlineLevel="0" collapsed="false">
      <c r="A18" s="7" t="s">
        <v>209</v>
      </c>
      <c r="B18" s="7" t="s">
        <v>210</v>
      </c>
      <c r="C18" s="7" t="s">
        <v>192</v>
      </c>
      <c r="D18" s="7" t="s">
        <v>118</v>
      </c>
      <c r="E18" s="7" t="s">
        <v>193</v>
      </c>
      <c r="F18" s="7" t="s">
        <v>206</v>
      </c>
      <c r="G18" s="7" t="s">
        <v>207</v>
      </c>
      <c r="H18" s="7" t="s">
        <v>211</v>
      </c>
    </row>
    <row r="19" customFormat="false" ht="15" hidden="false" customHeight="false" outlineLevel="0" collapsed="false">
      <c r="A19" s="7" t="s">
        <v>212</v>
      </c>
      <c r="B19" s="7" t="s">
        <v>213</v>
      </c>
      <c r="C19" s="7" t="s">
        <v>192</v>
      </c>
      <c r="D19" s="7" t="s">
        <v>122</v>
      </c>
      <c r="E19" s="7" t="s">
        <v>193</v>
      </c>
      <c r="F19" s="7" t="s">
        <v>206</v>
      </c>
      <c r="G19" s="7" t="s">
        <v>207</v>
      </c>
      <c r="H19" s="7" t="s">
        <v>211</v>
      </c>
    </row>
    <row r="20" customFormat="false" ht="15" hidden="false" customHeight="false" outlineLevel="0" collapsed="false">
      <c r="A20" s="7" t="s">
        <v>214</v>
      </c>
      <c r="B20" s="7" t="s">
        <v>215</v>
      </c>
      <c r="C20" s="7" t="s">
        <v>192</v>
      </c>
      <c r="D20" s="7" t="s">
        <v>106</v>
      </c>
      <c r="E20" s="7" t="s">
        <v>193</v>
      </c>
      <c r="F20" s="7" t="s">
        <v>172</v>
      </c>
      <c r="G20" s="7" t="s">
        <v>216</v>
      </c>
      <c r="H20" s="7" t="s">
        <v>217</v>
      </c>
    </row>
    <row r="21" customFormat="false" ht="15" hidden="false" customHeight="false" outlineLevel="0" collapsed="false">
      <c r="A21" s="7" t="s">
        <v>218</v>
      </c>
      <c r="B21" s="7" t="s">
        <v>219</v>
      </c>
      <c r="C21" s="7" t="s">
        <v>192</v>
      </c>
      <c r="D21" s="7" t="s">
        <v>106</v>
      </c>
      <c r="E21" s="7" t="s">
        <v>193</v>
      </c>
      <c r="F21" s="7" t="s">
        <v>172</v>
      </c>
      <c r="G21" s="7" t="s">
        <v>220</v>
      </c>
      <c r="H21" s="7" t="s">
        <v>217</v>
      </c>
    </row>
    <row r="22" customFormat="false" ht="15" hidden="false" customHeight="false" outlineLevel="0" collapsed="false">
      <c r="A22" s="7" t="s">
        <v>221</v>
      </c>
      <c r="B22" s="7" t="s">
        <v>222</v>
      </c>
      <c r="C22" s="7" t="s">
        <v>192</v>
      </c>
      <c r="D22" s="7" t="s">
        <v>106</v>
      </c>
      <c r="E22" s="7" t="s">
        <v>193</v>
      </c>
      <c r="F22" s="7" t="s">
        <v>172</v>
      </c>
      <c r="G22" s="7" t="s">
        <v>223</v>
      </c>
      <c r="H22" s="7" t="s">
        <v>217</v>
      </c>
    </row>
    <row r="23" customFormat="false" ht="15" hidden="false" customHeight="false" outlineLevel="0" collapsed="false">
      <c r="A23" s="7" t="s">
        <v>224</v>
      </c>
      <c r="B23" s="7" t="s">
        <v>225</v>
      </c>
      <c r="C23" s="7" t="s">
        <v>192</v>
      </c>
      <c r="D23" s="7" t="s">
        <v>106</v>
      </c>
      <c r="E23" s="7" t="s">
        <v>193</v>
      </c>
      <c r="F23" s="7" t="s">
        <v>172</v>
      </c>
      <c r="G23" s="7" t="s">
        <v>226</v>
      </c>
      <c r="H23" s="7" t="s">
        <v>227</v>
      </c>
    </row>
    <row r="24" customFormat="false" ht="15" hidden="false" customHeight="false" outlineLevel="0" collapsed="false">
      <c r="A24" s="7" t="s">
        <v>228</v>
      </c>
      <c r="B24" s="7" t="s">
        <v>229</v>
      </c>
      <c r="C24" s="7" t="s">
        <v>192</v>
      </c>
      <c r="D24" s="7" t="s">
        <v>106</v>
      </c>
      <c r="E24" s="7" t="s">
        <v>193</v>
      </c>
      <c r="F24" s="7" t="s">
        <v>172</v>
      </c>
      <c r="G24" s="7" t="s">
        <v>230</v>
      </c>
      <c r="H24" s="7" t="s">
        <v>231</v>
      </c>
    </row>
    <row r="25" customFormat="false" ht="15" hidden="false" customHeight="false" outlineLevel="0" collapsed="false">
      <c r="A25" s="7" t="s">
        <v>232</v>
      </c>
      <c r="B25" s="7" t="s">
        <v>233</v>
      </c>
      <c r="C25" s="7" t="s">
        <v>192</v>
      </c>
      <c r="D25" s="7" t="s">
        <v>106</v>
      </c>
      <c r="E25" s="7" t="s">
        <v>193</v>
      </c>
      <c r="F25" s="7" t="s">
        <v>172</v>
      </c>
      <c r="G25" s="7" t="s">
        <v>234</v>
      </c>
      <c r="H25" s="7" t="s">
        <v>235</v>
      </c>
    </row>
    <row r="26" customFormat="false" ht="15" hidden="false" customHeight="false" outlineLevel="0" collapsed="false">
      <c r="A26" s="7" t="s">
        <v>236</v>
      </c>
      <c r="B26" s="7" t="s">
        <v>237</v>
      </c>
      <c r="C26" s="7" t="s">
        <v>192</v>
      </c>
      <c r="D26" s="7" t="s">
        <v>106</v>
      </c>
      <c r="E26" s="7" t="s">
        <v>193</v>
      </c>
      <c r="F26" s="7" t="s">
        <v>172</v>
      </c>
      <c r="G26" s="7" t="s">
        <v>238</v>
      </c>
      <c r="H26" s="7" t="s">
        <v>239</v>
      </c>
    </row>
    <row r="27" customFormat="false" ht="15" hidden="false" customHeight="false" outlineLevel="0" collapsed="false">
      <c r="A27" s="7" t="s">
        <v>240</v>
      </c>
      <c r="B27" s="7" t="s">
        <v>241</v>
      </c>
      <c r="C27" s="7" t="s">
        <v>192</v>
      </c>
      <c r="D27" s="7" t="s">
        <v>106</v>
      </c>
      <c r="E27" s="7" t="s">
        <v>171</v>
      </c>
      <c r="F27" s="7" t="s">
        <v>206</v>
      </c>
      <c r="G27" s="7" t="s">
        <v>242</v>
      </c>
      <c r="H27" s="7" t="s">
        <v>243</v>
      </c>
    </row>
    <row r="28" customFormat="false" ht="15" hidden="false" customHeight="false" outlineLevel="0" collapsed="false">
      <c r="A28" s="7" t="s">
        <v>244</v>
      </c>
      <c r="B28" s="7" t="s">
        <v>245</v>
      </c>
      <c r="C28" s="7" t="s">
        <v>192</v>
      </c>
      <c r="D28" s="7" t="s">
        <v>106</v>
      </c>
      <c r="E28" s="7" t="s">
        <v>171</v>
      </c>
      <c r="F28" s="7" t="s">
        <v>206</v>
      </c>
      <c r="G28" s="7" t="s">
        <v>246</v>
      </c>
      <c r="H28" s="7" t="s">
        <v>247</v>
      </c>
    </row>
    <row r="29" customFormat="false" ht="15" hidden="false" customHeight="false" outlineLevel="0" collapsed="false">
      <c r="A29" s="7" t="s">
        <v>248</v>
      </c>
      <c r="B29" s="7" t="s">
        <v>249</v>
      </c>
      <c r="C29" s="7" t="s">
        <v>192</v>
      </c>
      <c r="D29" s="7" t="s">
        <v>106</v>
      </c>
      <c r="E29" s="7" t="s">
        <v>171</v>
      </c>
      <c r="F29" s="7" t="s">
        <v>206</v>
      </c>
      <c r="G29" s="7" t="s">
        <v>250</v>
      </c>
      <c r="H29" s="7" t="s">
        <v>251</v>
      </c>
    </row>
    <row r="30" customFormat="false" ht="15" hidden="false" customHeight="false" outlineLevel="0" collapsed="false">
      <c r="A30" s="7" t="s">
        <v>252</v>
      </c>
      <c r="B30" s="7" t="s">
        <v>253</v>
      </c>
      <c r="C30" s="7" t="s">
        <v>192</v>
      </c>
      <c r="D30" s="7" t="s">
        <v>106</v>
      </c>
      <c r="E30" s="7" t="s">
        <v>171</v>
      </c>
      <c r="F30" s="7" t="s">
        <v>206</v>
      </c>
      <c r="G30" s="7" t="s">
        <v>254</v>
      </c>
      <c r="H30" s="7" t="s">
        <v>255</v>
      </c>
    </row>
    <row r="31" customFormat="false" ht="15" hidden="false" customHeight="false" outlineLevel="0" collapsed="false">
      <c r="A31" s="7" t="s">
        <v>256</v>
      </c>
      <c r="B31" s="7" t="s">
        <v>257</v>
      </c>
      <c r="C31" s="7" t="s">
        <v>192</v>
      </c>
      <c r="D31" s="7" t="s">
        <v>106</v>
      </c>
      <c r="E31" s="7" t="s">
        <v>171</v>
      </c>
      <c r="F31" s="7" t="s">
        <v>206</v>
      </c>
      <c r="G31" s="7" t="s">
        <v>258</v>
      </c>
      <c r="H31" s="7" t="s">
        <v>259</v>
      </c>
    </row>
    <row r="32" customFormat="false" ht="15" hidden="false" customHeight="false" outlineLevel="0" collapsed="false">
      <c r="A32" s="7" t="s">
        <v>260</v>
      </c>
      <c r="B32" s="7" t="s">
        <v>261</v>
      </c>
      <c r="C32" s="7" t="s">
        <v>192</v>
      </c>
      <c r="D32" s="7" t="s">
        <v>102</v>
      </c>
      <c r="E32" s="7" t="s">
        <v>193</v>
      </c>
      <c r="F32" s="7" t="s">
        <v>172</v>
      </c>
      <c r="G32" s="7" t="s">
        <v>262</v>
      </c>
      <c r="H32" s="7" t="s">
        <v>263</v>
      </c>
    </row>
    <row r="33" customFormat="false" ht="15" hidden="false" customHeight="false" outlineLevel="0" collapsed="false">
      <c r="A33" s="7" t="s">
        <v>264</v>
      </c>
      <c r="B33" s="7" t="s">
        <v>265</v>
      </c>
      <c r="C33" s="7" t="s">
        <v>192</v>
      </c>
      <c r="D33" s="7" t="s">
        <v>102</v>
      </c>
      <c r="E33" s="7" t="s">
        <v>193</v>
      </c>
      <c r="F33" s="7" t="s">
        <v>172</v>
      </c>
      <c r="G33" s="7" t="s">
        <v>266</v>
      </c>
      <c r="H33" s="7" t="s">
        <v>267</v>
      </c>
    </row>
    <row r="34" customFormat="false" ht="15" hidden="false" customHeight="false" outlineLevel="0" collapsed="false">
      <c r="A34" s="7" t="s">
        <v>268</v>
      </c>
      <c r="B34" s="7" t="s">
        <v>269</v>
      </c>
      <c r="C34" s="7" t="s">
        <v>192</v>
      </c>
      <c r="D34" s="7" t="s">
        <v>102</v>
      </c>
      <c r="E34" s="7" t="s">
        <v>193</v>
      </c>
      <c r="F34" s="7" t="s">
        <v>172</v>
      </c>
      <c r="G34" s="7" t="s">
        <v>270</v>
      </c>
      <c r="H34" s="7" t="s">
        <v>271</v>
      </c>
    </row>
    <row r="35" customFormat="false" ht="15" hidden="false" customHeight="false" outlineLevel="0" collapsed="false">
      <c r="A35" s="7" t="s">
        <v>272</v>
      </c>
      <c r="B35" s="7" t="s">
        <v>273</v>
      </c>
      <c r="C35" s="7" t="s">
        <v>192</v>
      </c>
      <c r="D35" s="7" t="s">
        <v>102</v>
      </c>
      <c r="E35" s="7" t="s">
        <v>171</v>
      </c>
      <c r="F35" s="7" t="s">
        <v>206</v>
      </c>
      <c r="G35" s="7" t="s">
        <v>274</v>
      </c>
      <c r="H35" s="7" t="s">
        <v>275</v>
      </c>
    </row>
    <row r="36" customFormat="false" ht="15" hidden="false" customHeight="false" outlineLevel="0" collapsed="false">
      <c r="A36" s="7" t="s">
        <v>276</v>
      </c>
      <c r="B36" s="7" t="s">
        <v>277</v>
      </c>
      <c r="C36" s="7" t="s">
        <v>192</v>
      </c>
      <c r="D36" s="7" t="s">
        <v>102</v>
      </c>
      <c r="E36" s="7" t="s">
        <v>171</v>
      </c>
      <c r="F36" s="7" t="s">
        <v>206</v>
      </c>
      <c r="G36" s="7" t="s">
        <v>278</v>
      </c>
      <c r="H36" s="7" t="s">
        <v>279</v>
      </c>
    </row>
    <row r="37" customFormat="false" ht="15" hidden="false" customHeight="false" outlineLevel="0" collapsed="false">
      <c r="A37" s="7" t="s">
        <v>280</v>
      </c>
      <c r="B37" s="7" t="s">
        <v>281</v>
      </c>
      <c r="C37" s="7" t="s">
        <v>192</v>
      </c>
      <c r="D37" s="7" t="s">
        <v>97</v>
      </c>
      <c r="E37" s="7" t="s">
        <v>193</v>
      </c>
      <c r="F37" s="7" t="s">
        <v>172</v>
      </c>
      <c r="G37" s="7" t="s">
        <v>282</v>
      </c>
      <c r="H37" s="7" t="s">
        <v>283</v>
      </c>
    </row>
    <row r="38" customFormat="false" ht="15" hidden="false" customHeight="false" outlineLevel="0" collapsed="false">
      <c r="A38" s="7" t="s">
        <v>284</v>
      </c>
      <c r="B38" s="7" t="s">
        <v>285</v>
      </c>
      <c r="C38" s="7" t="s">
        <v>192</v>
      </c>
      <c r="D38" s="7" t="s">
        <v>97</v>
      </c>
      <c r="E38" s="7" t="s">
        <v>193</v>
      </c>
      <c r="F38" s="7" t="s">
        <v>172</v>
      </c>
      <c r="G38" s="7" t="s">
        <v>286</v>
      </c>
      <c r="H38" s="7" t="s">
        <v>287</v>
      </c>
    </row>
    <row r="39" customFormat="false" ht="15" hidden="false" customHeight="false" outlineLevel="0" collapsed="false">
      <c r="A39" s="7" t="s">
        <v>288</v>
      </c>
      <c r="B39" s="7" t="s">
        <v>289</v>
      </c>
      <c r="C39" s="7" t="s">
        <v>192</v>
      </c>
      <c r="D39" s="7" t="s">
        <v>97</v>
      </c>
      <c r="E39" s="7" t="s">
        <v>171</v>
      </c>
      <c r="F39" s="7" t="s">
        <v>206</v>
      </c>
      <c r="G39" s="7" t="s">
        <v>290</v>
      </c>
      <c r="H39" s="7" t="s">
        <v>291</v>
      </c>
    </row>
    <row r="40" customFormat="false" ht="15" hidden="false" customHeight="false" outlineLevel="0" collapsed="false">
      <c r="A40" s="7" t="s">
        <v>292</v>
      </c>
      <c r="B40" s="7" t="s">
        <v>293</v>
      </c>
      <c r="C40" s="7" t="s">
        <v>192</v>
      </c>
      <c r="D40" s="7" t="s">
        <v>100</v>
      </c>
      <c r="E40" s="7" t="s">
        <v>193</v>
      </c>
      <c r="F40" s="7" t="s">
        <v>172</v>
      </c>
      <c r="G40" s="7" t="s">
        <v>294</v>
      </c>
      <c r="H40" s="7" t="s">
        <v>295</v>
      </c>
    </row>
    <row r="41" customFormat="false" ht="15" hidden="false" customHeight="false" outlineLevel="0" collapsed="false">
      <c r="A41" s="7" t="s">
        <v>296</v>
      </c>
      <c r="B41" s="7" t="s">
        <v>297</v>
      </c>
      <c r="C41" s="7" t="s">
        <v>298</v>
      </c>
      <c r="D41" s="7" t="s">
        <v>100</v>
      </c>
      <c r="E41" s="7" t="s">
        <v>171</v>
      </c>
      <c r="F41" s="7" t="s">
        <v>206</v>
      </c>
      <c r="G41" s="7" t="s">
        <v>299</v>
      </c>
      <c r="H41" s="7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5" t="s">
        <v>302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5.05" hidden="false" customHeight="false" outlineLevel="0" collapsed="false">
      <c r="A4" s="6" t="s">
        <v>303</v>
      </c>
      <c r="B4" s="6" t="s">
        <v>304</v>
      </c>
      <c r="C4" s="6" t="s">
        <v>305</v>
      </c>
      <c r="D4" s="6" t="s">
        <v>306</v>
      </c>
      <c r="E4" s="6" t="s">
        <v>307</v>
      </c>
      <c r="F4" s="6" t="s">
        <v>308</v>
      </c>
      <c r="G4" s="6" t="s">
        <v>309</v>
      </c>
      <c r="H4" s="6" t="s">
        <v>310</v>
      </c>
      <c r="I4" s="6" t="s">
        <v>311</v>
      </c>
      <c r="J4" s="6" t="s">
        <v>163</v>
      </c>
      <c r="K4" s="6" t="s">
        <v>312</v>
      </c>
      <c r="L4" s="6" t="s">
        <v>313</v>
      </c>
      <c r="M4" s="6" t="s">
        <v>314</v>
      </c>
      <c r="N4" s="6" t="s">
        <v>315</v>
      </c>
    </row>
    <row r="5" customFormat="false" ht="15" hidden="false" customHeight="false" outlineLevel="0" collapsed="false">
      <c r="A5" s="13" t="n">
        <v>1</v>
      </c>
      <c r="B5" s="14" t="n">
        <v>46357.425</v>
      </c>
      <c r="C5" s="7" t="s">
        <v>316</v>
      </c>
      <c r="D5" s="7" t="s">
        <v>316</v>
      </c>
      <c r="E5" s="7" t="s">
        <v>317</v>
      </c>
      <c r="F5" s="7" t="s">
        <v>168</v>
      </c>
      <c r="G5" s="7" t="str">
        <f aca="false">IFERROR(INDEX('Plan de comptes'!$B$5:$B$41,MATCH(F5,'Plan de comptes'!$A$5:$A$41,0)),"COMPTE INCONNU")</f>
        <v>Créance sur Wave</v>
      </c>
      <c r="H5" s="15" t="n">
        <v>20000</v>
      </c>
      <c r="I5" s="16"/>
      <c r="J5" s="7" t="str">
        <f aca="false">IFERROR(INDEX('Plan de comptes'!$D$5:$D$41,MATCH(F5,'Plan de comptes'!$A$5:$A$41,0)),"?")</f>
        <v>ORG</v>
      </c>
      <c r="K5" s="16" t="n">
        <f aca="false">SUMIFS($H$5:$H$500,$A$5:$A$500,A5)-SUMIFS($I$5:$I$500,$A$5:$A$500,A5)</f>
        <v>0</v>
      </c>
      <c r="L5" s="7" t="s">
        <v>318</v>
      </c>
      <c r="M5" s="7" t="s">
        <v>319</v>
      </c>
      <c r="N5" s="16" t="n">
        <f aca="false">SUMIFS($H$5:H5,$F$5:F5,F5)-SUMIFS($I$5:I5,$F$5:F5,F5)</f>
        <v>20000</v>
      </c>
    </row>
    <row r="6" customFormat="false" ht="15" hidden="false" customHeight="false" outlineLevel="0" collapsed="false">
      <c r="A6" s="13" t="n">
        <v>1</v>
      </c>
      <c r="B6" s="14" t="n">
        <v>46357.425</v>
      </c>
      <c r="C6" s="7" t="s">
        <v>316</v>
      </c>
      <c r="D6" s="7" t="s">
        <v>316</v>
      </c>
      <c r="E6" s="7" t="s">
        <v>317</v>
      </c>
      <c r="F6" s="7" t="s">
        <v>137</v>
      </c>
      <c r="G6" s="7" t="str">
        <f aca="false">IFERROR(INDEX('Plan de comptes'!$B$5:$B$41,MATCH(F6,'Plan de comptes'!$A$5:$A$41,0)),"COMPTE INCONNU")</f>
        <v>Portefeuille W01 Awa — crédits payés</v>
      </c>
      <c r="H6" s="16"/>
      <c r="I6" s="16" t="n">
        <f aca="false">H5</f>
        <v>20000</v>
      </c>
      <c r="J6" s="7" t="str">
        <f aca="false">IFERROR(INDEX('Plan de comptes'!$D$5:$D$41,MATCH(F6,'Plan de comptes'!$A$5:$A$41,0)),"?")</f>
        <v>W01</v>
      </c>
      <c r="K6" s="16" t="n">
        <f aca="false">SUMIFS($H$5:$H$500,$A$5:$A$500,A6)-SUMIFS($I$5:$I$500,$A$5:$A$500,A6)</f>
        <v>0</v>
      </c>
      <c r="L6" s="7" t="s">
        <v>318</v>
      </c>
      <c r="M6" s="7" t="s">
        <v>319</v>
      </c>
      <c r="N6" s="16" t="n">
        <f aca="false">SUMIFS($H$5:H6,$F$5:F6,F6)-SUMIFS($I$5:I6,$F$5:F6,F6)</f>
        <v>-20000</v>
      </c>
    </row>
    <row r="7" customFormat="false" ht="15" hidden="false" customHeight="false" outlineLevel="0" collapsed="false">
      <c r="A7" s="13" t="n">
        <v>1</v>
      </c>
      <c r="B7" s="14" t="n">
        <v>46357.425</v>
      </c>
      <c r="C7" s="7" t="s">
        <v>316</v>
      </c>
      <c r="D7" s="7" t="s">
        <v>320</v>
      </c>
      <c r="E7" s="7" t="s">
        <v>321</v>
      </c>
      <c r="F7" s="7" t="s">
        <v>244</v>
      </c>
      <c r="G7" s="7" t="str">
        <f aca="false">IFERROR(INDEX('Plan de comptes'!$B$5:$B$41,MATCH(F7,'Plan de comptes'!$A$5:$A$41,0)),"COMPTE INCONNU")</f>
        <v>Organisateur — frais PSP supportés</v>
      </c>
      <c r="H7" s="16" t="n">
        <f aca="false">ROUND(H5*Paramètres!$C$6,0)</f>
        <v>200</v>
      </c>
      <c r="I7" s="16"/>
      <c r="J7" s="7" t="str">
        <f aca="false">IFERROR(INDEX('Plan de comptes'!$D$5:$D$41,MATCH(F7,'Plan de comptes'!$A$5:$A$41,0)),"?")</f>
        <v>ORG</v>
      </c>
      <c r="K7" s="16" t="n">
        <f aca="false">SUMIFS($H$5:$H$500,$A$5:$A$500,A7)-SUMIFS($I$5:$I$500,$A$5:$A$500,A7)</f>
        <v>0</v>
      </c>
      <c r="L7" s="7" t="s">
        <v>318</v>
      </c>
      <c r="M7" s="7" t="s">
        <v>319</v>
      </c>
      <c r="N7" s="16" t="n">
        <f aca="false">SUMIFS($H$5:H7,$F$5:F7,F7)-SUMIFS($I$5:I7,$F$5:F7,F7)</f>
        <v>200</v>
      </c>
    </row>
    <row r="8" customFormat="false" ht="15" hidden="false" customHeight="false" outlineLevel="0" collapsed="false">
      <c r="A8" s="17" t="n">
        <v>1</v>
      </c>
      <c r="B8" s="18" t="n">
        <v>46357.425</v>
      </c>
      <c r="C8" s="19" t="s">
        <v>316</v>
      </c>
      <c r="D8" s="19" t="s">
        <v>320</v>
      </c>
      <c r="E8" s="19" t="s">
        <v>322</v>
      </c>
      <c r="F8" s="19" t="s">
        <v>168</v>
      </c>
      <c r="G8" s="19" t="str">
        <f aca="false">IFERROR(INDEX('Plan de comptes'!$B$5:$B$41,MATCH(F8,'Plan de comptes'!$A$5:$A$41,0)),"COMPTE INCONNU")</f>
        <v>Créance sur Wave</v>
      </c>
      <c r="H8" s="20"/>
      <c r="I8" s="20" t="n">
        <f aca="false">H7</f>
        <v>200</v>
      </c>
      <c r="J8" s="19" t="str">
        <f aca="false">IFERROR(INDEX('Plan de comptes'!$D$5:$D$41,MATCH(F8,'Plan de comptes'!$A$5:$A$41,0)),"?")</f>
        <v>ORG</v>
      </c>
      <c r="K8" s="20" t="n">
        <f aca="false">SUMIFS($H$5:$H$500,$A$5:$A$500,A8)-SUMIFS($I$5:$I$500,$A$5:$A$500,A8)</f>
        <v>0</v>
      </c>
      <c r="L8" s="19" t="s">
        <v>318</v>
      </c>
      <c r="M8" s="19" t="s">
        <v>319</v>
      </c>
      <c r="N8" s="20" t="n">
        <f aca="false">SUMIFS($H$5:H8,$F$5:F8,F8)-SUMIFS($I$5:I8,$F$5:F8,F8)</f>
        <v>19800</v>
      </c>
    </row>
    <row r="9" customFormat="false" ht="15" hidden="false" customHeight="false" outlineLevel="0" collapsed="false">
      <c r="A9" s="13" t="n">
        <v>2</v>
      </c>
      <c r="B9" s="14" t="n">
        <v>46367.7118055556</v>
      </c>
      <c r="C9" s="7" t="s">
        <v>316</v>
      </c>
      <c r="D9" s="7" t="s">
        <v>316</v>
      </c>
      <c r="E9" s="7" t="s">
        <v>323</v>
      </c>
      <c r="F9" s="7" t="s">
        <v>175</v>
      </c>
      <c r="G9" s="7" t="str">
        <f aca="false">IFERROR(INDEX('Plan de comptes'!$B$5:$B$41,MATCH(F9,'Plan de comptes'!$A$5:$A$41,0)),"COMPTE INCONNU")</f>
        <v>Créance sur Orange Money</v>
      </c>
      <c r="H9" s="15" t="n">
        <v>15000</v>
      </c>
      <c r="I9" s="16"/>
      <c r="J9" s="7" t="str">
        <f aca="false">IFERROR(INDEX('Plan de comptes'!$D$5:$D$41,MATCH(F9,'Plan de comptes'!$A$5:$A$41,0)),"?")</f>
        <v>ORG</v>
      </c>
      <c r="K9" s="16" t="n">
        <f aca="false">SUMIFS($H$5:$H$500,$A$5:$A$500,A9)-SUMIFS($I$5:$I$500,$A$5:$A$500,A9)</f>
        <v>0</v>
      </c>
      <c r="L9" s="7" t="s">
        <v>318</v>
      </c>
      <c r="M9" s="7" t="s">
        <v>324</v>
      </c>
      <c r="N9" s="16" t="n">
        <f aca="false">SUMIFS($H$5:H9,$F$5:F9,F9)-SUMIFS($I$5:I9,$F$5:F9,F9)</f>
        <v>15000</v>
      </c>
    </row>
    <row r="10" customFormat="false" ht="15" hidden="false" customHeight="false" outlineLevel="0" collapsed="false">
      <c r="A10" s="13" t="n">
        <v>2</v>
      </c>
      <c r="B10" s="14" t="n">
        <v>46367.7118055556</v>
      </c>
      <c r="C10" s="7" t="s">
        <v>316</v>
      </c>
      <c r="D10" s="7" t="s">
        <v>316</v>
      </c>
      <c r="E10" s="7" t="s">
        <v>323</v>
      </c>
      <c r="F10" s="7" t="s">
        <v>141</v>
      </c>
      <c r="G10" s="7" t="str">
        <f aca="false">IFERROR(INDEX('Plan de comptes'!$B$5:$B$41,MATCH(F10,'Plan de comptes'!$A$5:$A$41,0)),"COMPTE INCONNU")</f>
        <v>Portefeuille W02 Moussa — crédits payés</v>
      </c>
      <c r="H10" s="16"/>
      <c r="I10" s="16" t="n">
        <f aca="false">H9</f>
        <v>15000</v>
      </c>
      <c r="J10" s="7" t="str">
        <f aca="false">IFERROR(INDEX('Plan de comptes'!$D$5:$D$41,MATCH(F10,'Plan de comptes'!$A$5:$A$41,0)),"?")</f>
        <v>W02</v>
      </c>
      <c r="K10" s="16" t="n">
        <f aca="false">SUMIFS($H$5:$H$500,$A$5:$A$500,A10)-SUMIFS($I$5:$I$500,$A$5:$A$500,A10)</f>
        <v>0</v>
      </c>
      <c r="L10" s="7" t="s">
        <v>318</v>
      </c>
      <c r="M10" s="7" t="s">
        <v>324</v>
      </c>
      <c r="N10" s="16" t="n">
        <f aca="false">SUMIFS($H$5:H10,$F$5:F10,F10)-SUMIFS($I$5:I10,$F$5:F10,F10)</f>
        <v>-15000</v>
      </c>
    </row>
    <row r="11" customFormat="false" ht="15" hidden="false" customHeight="false" outlineLevel="0" collapsed="false">
      <c r="A11" s="13" t="n">
        <v>2</v>
      </c>
      <c r="B11" s="14" t="n">
        <v>46367.7118055556</v>
      </c>
      <c r="C11" s="7" t="s">
        <v>316</v>
      </c>
      <c r="D11" s="7" t="s">
        <v>320</v>
      </c>
      <c r="E11" s="7" t="s">
        <v>325</v>
      </c>
      <c r="F11" s="7" t="s">
        <v>244</v>
      </c>
      <c r="G11" s="7" t="str">
        <f aca="false">IFERROR(INDEX('Plan de comptes'!$B$5:$B$41,MATCH(F11,'Plan de comptes'!$A$5:$A$41,0)),"COMPTE INCONNU")</f>
        <v>Organisateur — frais PSP supportés</v>
      </c>
      <c r="H11" s="16" t="n">
        <f aca="false">ROUND(H9*Paramètres!$C$7,0)</f>
        <v>225</v>
      </c>
      <c r="I11" s="16"/>
      <c r="J11" s="7" t="str">
        <f aca="false">IFERROR(INDEX('Plan de comptes'!$D$5:$D$41,MATCH(F11,'Plan de comptes'!$A$5:$A$41,0)),"?")</f>
        <v>ORG</v>
      </c>
      <c r="K11" s="16" t="n">
        <f aca="false">SUMIFS($H$5:$H$500,$A$5:$A$500,A11)-SUMIFS($I$5:$I$500,$A$5:$A$500,A11)</f>
        <v>0</v>
      </c>
      <c r="L11" s="7" t="s">
        <v>318</v>
      </c>
      <c r="M11" s="7" t="s">
        <v>324</v>
      </c>
      <c r="N11" s="16" t="n">
        <f aca="false">SUMIFS($H$5:H11,$F$5:F11,F11)-SUMIFS($I$5:I11,$F$5:F11,F11)</f>
        <v>425</v>
      </c>
    </row>
    <row r="12" customFormat="false" ht="15" hidden="false" customHeight="false" outlineLevel="0" collapsed="false">
      <c r="A12" s="17" t="n">
        <v>2</v>
      </c>
      <c r="B12" s="18" t="n">
        <v>46367.7118055556</v>
      </c>
      <c r="C12" s="19" t="s">
        <v>316</v>
      </c>
      <c r="D12" s="19" t="s">
        <v>320</v>
      </c>
      <c r="E12" s="19" t="s">
        <v>326</v>
      </c>
      <c r="F12" s="19" t="s">
        <v>175</v>
      </c>
      <c r="G12" s="19" t="str">
        <f aca="false">IFERROR(INDEX('Plan de comptes'!$B$5:$B$41,MATCH(F12,'Plan de comptes'!$A$5:$A$41,0)),"COMPTE INCONNU")</f>
        <v>Créance sur Orange Money</v>
      </c>
      <c r="H12" s="20"/>
      <c r="I12" s="20" t="n">
        <f aca="false">H11</f>
        <v>225</v>
      </c>
      <c r="J12" s="19" t="str">
        <f aca="false">IFERROR(INDEX('Plan de comptes'!$D$5:$D$41,MATCH(F12,'Plan de comptes'!$A$5:$A$41,0)),"?")</f>
        <v>ORG</v>
      </c>
      <c r="K12" s="20" t="n">
        <f aca="false">SUMIFS($H$5:$H$500,$A$5:$A$500,A12)-SUMIFS($I$5:$I$500,$A$5:$A$500,A12)</f>
        <v>0</v>
      </c>
      <c r="L12" s="19" t="s">
        <v>318</v>
      </c>
      <c r="M12" s="19" t="s">
        <v>324</v>
      </c>
      <c r="N12" s="20" t="n">
        <f aca="false">SUMIFS($H$5:H12,$F$5:F12,F12)-SUMIFS($I$5:I12,$F$5:F12,F12)</f>
        <v>14775</v>
      </c>
    </row>
    <row r="13" customFormat="false" ht="15" hidden="false" customHeight="false" outlineLevel="0" collapsed="false">
      <c r="A13" s="13" t="n">
        <v>3</v>
      </c>
      <c r="B13" s="14" t="n">
        <v>46367.7361111111</v>
      </c>
      <c r="C13" s="7" t="s">
        <v>316</v>
      </c>
      <c r="D13" s="7" t="s">
        <v>316</v>
      </c>
      <c r="E13" s="7" t="s">
        <v>327</v>
      </c>
      <c r="F13" s="7" t="s">
        <v>177</v>
      </c>
      <c r="G13" s="7" t="str">
        <f aca="false">IFERROR(INDEX('Plan de comptes'!$B$5:$B$41,MATCH(F13,'Plan de comptes'!$A$5:$A$41,0)),"COMPTE INCONNU")</f>
        <v>Créance sur PSP carte</v>
      </c>
      <c r="H13" s="15" t="n">
        <v>30000</v>
      </c>
      <c r="I13" s="16"/>
      <c r="J13" s="7" t="str">
        <f aca="false">IFERROR(INDEX('Plan de comptes'!$D$5:$D$41,MATCH(F13,'Plan de comptes'!$A$5:$A$41,0)),"?")</f>
        <v>ORG</v>
      </c>
      <c r="K13" s="16" t="n">
        <f aca="false">SUMIFS($H$5:$H$500,$A$5:$A$500,A13)-SUMIFS($I$5:$I$500,$A$5:$A$500,A13)</f>
        <v>0</v>
      </c>
      <c r="L13" s="7" t="s">
        <v>318</v>
      </c>
      <c r="M13" s="7" t="s">
        <v>328</v>
      </c>
      <c r="N13" s="16" t="n">
        <f aca="false">SUMIFS($H$5:H13,$F$5:F13,F13)-SUMIFS($I$5:I13,$F$5:F13,F13)</f>
        <v>30000</v>
      </c>
    </row>
    <row r="14" customFormat="false" ht="15" hidden="false" customHeight="false" outlineLevel="0" collapsed="false">
      <c r="A14" s="13" t="n">
        <v>3</v>
      </c>
      <c r="B14" s="14" t="n">
        <v>46367.7361111111</v>
      </c>
      <c r="C14" s="7" t="s">
        <v>316</v>
      </c>
      <c r="D14" s="7" t="s">
        <v>316</v>
      </c>
      <c r="E14" s="7" t="s">
        <v>327</v>
      </c>
      <c r="F14" s="7" t="s">
        <v>145</v>
      </c>
      <c r="G14" s="7" t="str">
        <f aca="false">IFERROR(INDEX('Plan de comptes'!$B$5:$B$41,MATCH(F14,'Plan de comptes'!$A$5:$A$41,0)),"COMPTE INCONNU")</f>
        <v>Portefeuille W03 Fatou — crédits payés</v>
      </c>
      <c r="H14" s="16"/>
      <c r="I14" s="16" t="n">
        <f aca="false">H13</f>
        <v>30000</v>
      </c>
      <c r="J14" s="7" t="str">
        <f aca="false">IFERROR(INDEX('Plan de comptes'!$D$5:$D$41,MATCH(F14,'Plan de comptes'!$A$5:$A$41,0)),"?")</f>
        <v>W03</v>
      </c>
      <c r="K14" s="16" t="n">
        <f aca="false">SUMIFS($H$5:$H$500,$A$5:$A$500,A14)-SUMIFS($I$5:$I$500,$A$5:$A$500,A14)</f>
        <v>0</v>
      </c>
      <c r="L14" s="7" t="s">
        <v>318</v>
      </c>
      <c r="M14" s="7" t="s">
        <v>328</v>
      </c>
      <c r="N14" s="16" t="n">
        <f aca="false">SUMIFS($H$5:H14,$F$5:F14,F14)-SUMIFS($I$5:I14,$F$5:F14,F14)</f>
        <v>-30000</v>
      </c>
    </row>
    <row r="15" customFormat="false" ht="15" hidden="false" customHeight="false" outlineLevel="0" collapsed="false">
      <c r="A15" s="13" t="n">
        <v>3</v>
      </c>
      <c r="B15" s="14" t="n">
        <v>46367.7361111111</v>
      </c>
      <c r="C15" s="7" t="s">
        <v>316</v>
      </c>
      <c r="D15" s="7" t="s">
        <v>320</v>
      </c>
      <c r="E15" s="7" t="s">
        <v>329</v>
      </c>
      <c r="F15" s="7" t="s">
        <v>244</v>
      </c>
      <c r="G15" s="7" t="str">
        <f aca="false">IFERROR(INDEX('Plan de comptes'!$B$5:$B$41,MATCH(F15,'Plan de comptes'!$A$5:$A$41,0)),"COMPTE INCONNU")</f>
        <v>Organisateur — frais PSP supportés</v>
      </c>
      <c r="H15" s="16" t="n">
        <f aca="false">ROUND(H13*Paramètres!$C$8,0)</f>
        <v>750</v>
      </c>
      <c r="I15" s="16"/>
      <c r="J15" s="7" t="str">
        <f aca="false">IFERROR(INDEX('Plan de comptes'!$D$5:$D$41,MATCH(F15,'Plan de comptes'!$A$5:$A$41,0)),"?")</f>
        <v>ORG</v>
      </c>
      <c r="K15" s="16" t="n">
        <f aca="false">SUMIFS($H$5:$H$500,$A$5:$A$500,A15)-SUMIFS($I$5:$I$500,$A$5:$A$500,A15)</f>
        <v>0</v>
      </c>
      <c r="L15" s="7" t="s">
        <v>318</v>
      </c>
      <c r="M15" s="7" t="s">
        <v>328</v>
      </c>
      <c r="N15" s="16" t="n">
        <f aca="false">SUMIFS($H$5:H15,$F$5:F15,F15)-SUMIFS($I$5:I15,$F$5:F15,F15)</f>
        <v>1175</v>
      </c>
    </row>
    <row r="16" customFormat="false" ht="15" hidden="false" customHeight="false" outlineLevel="0" collapsed="false">
      <c r="A16" s="17" t="n">
        <v>3</v>
      </c>
      <c r="B16" s="18" t="n">
        <v>46367.7361111111</v>
      </c>
      <c r="C16" s="19" t="s">
        <v>316</v>
      </c>
      <c r="D16" s="19" t="s">
        <v>320</v>
      </c>
      <c r="E16" s="19" t="s">
        <v>330</v>
      </c>
      <c r="F16" s="19" t="s">
        <v>177</v>
      </c>
      <c r="G16" s="19" t="str">
        <f aca="false">IFERROR(INDEX('Plan de comptes'!$B$5:$B$41,MATCH(F16,'Plan de comptes'!$A$5:$A$41,0)),"COMPTE INCONNU")</f>
        <v>Créance sur PSP carte</v>
      </c>
      <c r="H16" s="20"/>
      <c r="I16" s="20" t="n">
        <f aca="false">H15</f>
        <v>750</v>
      </c>
      <c r="J16" s="19" t="str">
        <f aca="false">IFERROR(INDEX('Plan de comptes'!$D$5:$D$41,MATCH(F16,'Plan de comptes'!$A$5:$A$41,0)),"?")</f>
        <v>ORG</v>
      </c>
      <c r="K16" s="20" t="n">
        <f aca="false">SUMIFS($H$5:$H$500,$A$5:$A$500,A16)-SUMIFS($I$5:$I$500,$A$5:$A$500,A16)</f>
        <v>0</v>
      </c>
      <c r="L16" s="19" t="s">
        <v>318</v>
      </c>
      <c r="M16" s="19" t="s">
        <v>328</v>
      </c>
      <c r="N16" s="20" t="n">
        <f aca="false">SUMIFS($H$5:H16,$F$5:F16,F16)-SUMIFS($I$5:I16,$F$5:F16,F16)</f>
        <v>29250</v>
      </c>
    </row>
    <row r="17" customFormat="false" ht="15" hidden="false" customHeight="false" outlineLevel="0" collapsed="false">
      <c r="A17" s="13" t="n">
        <v>4</v>
      </c>
      <c r="B17" s="14" t="n">
        <v>46367.7513888889</v>
      </c>
      <c r="C17" s="7" t="s">
        <v>331</v>
      </c>
      <c r="D17" s="7" t="s">
        <v>316</v>
      </c>
      <c r="E17" s="7" t="s">
        <v>332</v>
      </c>
      <c r="F17" s="7" t="s">
        <v>179</v>
      </c>
      <c r="G17" s="7" t="str">
        <f aca="false">IFERROR(INDEX('Plan de comptes'!$B$5:$B$41,MATCH(F17,'Plan de comptes'!$A$5:$A$41,0)),"COMPTE INCONNU")</f>
        <v>Caisse de recharge C1 (espèces)</v>
      </c>
      <c r="H17" s="15" t="n">
        <v>10000</v>
      </c>
      <c r="I17" s="16"/>
      <c r="J17" s="7" t="str">
        <f aca="false">IFERROR(INDEX('Plan de comptes'!$D$5:$D$41,MATCH(F17,'Plan de comptes'!$A$5:$A$41,0)),"?")</f>
        <v>ORG</v>
      </c>
      <c r="K17" s="16" t="n">
        <f aca="false">SUMIFS($H$5:$H$500,$A$5:$A$500,A17)-SUMIFS($I$5:$I$500,$A$5:$A$500,A17)</f>
        <v>0</v>
      </c>
      <c r="L17" s="7" t="s">
        <v>333</v>
      </c>
      <c r="M17" s="7" t="s">
        <v>334</v>
      </c>
      <c r="N17" s="16" t="n">
        <f aca="false">SUMIFS($H$5:H17,$F$5:F17,F17)-SUMIFS($I$5:I17,$F$5:F17,F17)</f>
        <v>10000</v>
      </c>
    </row>
    <row r="18" customFormat="false" ht="15" hidden="false" customHeight="false" outlineLevel="0" collapsed="false">
      <c r="A18" s="17" t="n">
        <v>4</v>
      </c>
      <c r="B18" s="18" t="n">
        <v>46367.7513888889</v>
      </c>
      <c r="C18" s="19" t="s">
        <v>331</v>
      </c>
      <c r="D18" s="19" t="s">
        <v>316</v>
      </c>
      <c r="E18" s="19" t="s">
        <v>332</v>
      </c>
      <c r="F18" s="19" t="s">
        <v>149</v>
      </c>
      <c r="G18" s="19" t="str">
        <f aca="false">IFERROR(INDEX('Plan de comptes'!$B$5:$B$41,MATCH(F18,'Plan de comptes'!$A$5:$A$41,0)),"COMPTE INCONNU")</f>
        <v>Portefeuille W04 Jean — crédits payés</v>
      </c>
      <c r="H18" s="20"/>
      <c r="I18" s="20" t="n">
        <f aca="false">H17</f>
        <v>10000</v>
      </c>
      <c r="J18" s="19" t="str">
        <f aca="false">IFERROR(INDEX('Plan de comptes'!$D$5:$D$41,MATCH(F18,'Plan de comptes'!$A$5:$A$41,0)),"?")</f>
        <v>W04</v>
      </c>
      <c r="K18" s="20" t="n">
        <f aca="false">SUMIFS($H$5:$H$500,$A$5:$A$500,A18)-SUMIFS($I$5:$I$500,$A$5:$A$500,A18)</f>
        <v>0</v>
      </c>
      <c r="L18" s="19" t="s">
        <v>333</v>
      </c>
      <c r="M18" s="19" t="s">
        <v>334</v>
      </c>
      <c r="N18" s="20" t="n">
        <f aca="false">SUMIFS($H$5:H18,$F$5:F18,F18)-SUMIFS($I$5:I18,$F$5:F18,F18)</f>
        <v>-10000</v>
      </c>
    </row>
    <row r="19" customFormat="false" ht="15" hidden="false" customHeight="false" outlineLevel="0" collapsed="false">
      <c r="A19" s="13" t="n">
        <v>5</v>
      </c>
      <c r="B19" s="14" t="n">
        <v>46367.7520833333</v>
      </c>
      <c r="C19" s="7" t="s">
        <v>335</v>
      </c>
      <c r="D19" s="7" t="s">
        <v>335</v>
      </c>
      <c r="E19" s="7" t="s">
        <v>336</v>
      </c>
      <c r="F19" s="7" t="s">
        <v>179</v>
      </c>
      <c r="G19" s="7" t="str">
        <f aca="false">IFERROR(INDEX('Plan de comptes'!$B$5:$B$41,MATCH(F19,'Plan de comptes'!$A$5:$A$41,0)),"COMPTE INCONNU")</f>
        <v>Caisse de recharge C1 (espèces)</v>
      </c>
      <c r="H19" s="16" t="n">
        <f aca="false">Paramètres!$C$23</f>
        <v>2000</v>
      </c>
      <c r="I19" s="16"/>
      <c r="J19" s="7" t="str">
        <f aca="false">IFERROR(INDEX('Plan de comptes'!$D$5:$D$41,MATCH(F19,'Plan de comptes'!$A$5:$A$41,0)),"?")</f>
        <v>ORG</v>
      </c>
      <c r="K19" s="16" t="n">
        <f aca="false">SUMIFS($H$5:$H$500,$A$5:$A$500,A19)-SUMIFS($I$5:$I$500,$A$5:$A$500,A19)</f>
        <v>0</v>
      </c>
      <c r="L19" s="7" t="s">
        <v>333</v>
      </c>
      <c r="M19" s="7" t="s">
        <v>337</v>
      </c>
      <c r="N19" s="16" t="n">
        <f aca="false">SUMIFS($H$5:H19,$F$5:F19,F19)-SUMIFS($I$5:I19,$F$5:F19,F19)</f>
        <v>12000</v>
      </c>
    </row>
    <row r="20" customFormat="false" ht="15" hidden="false" customHeight="false" outlineLevel="0" collapsed="false">
      <c r="A20" s="17" t="n">
        <v>5</v>
      </c>
      <c r="B20" s="18" t="n">
        <v>46367.7520833333</v>
      </c>
      <c r="C20" s="19" t="s">
        <v>335</v>
      </c>
      <c r="D20" s="19" t="s">
        <v>335</v>
      </c>
      <c r="E20" s="19" t="s">
        <v>338</v>
      </c>
      <c r="F20" s="19" t="s">
        <v>232</v>
      </c>
      <c r="G20" s="19" t="str">
        <f aca="false">IFERROR(INDEX('Plan de comptes'!$B$5:$B$41,MATCH(F20,'Plan de comptes'!$A$5:$A$41,0)),"COMPTE INCONNU")</f>
        <v>Organisateur — cautions détenues (à rendre)</v>
      </c>
      <c r="H20" s="20"/>
      <c r="I20" s="20" t="n">
        <f aca="false">H19</f>
        <v>2000</v>
      </c>
      <c r="J20" s="19" t="str">
        <f aca="false">IFERROR(INDEX('Plan de comptes'!$D$5:$D$41,MATCH(F20,'Plan de comptes'!$A$5:$A$41,0)),"?")</f>
        <v>ORG</v>
      </c>
      <c r="K20" s="20" t="n">
        <f aca="false">SUMIFS($H$5:$H$500,$A$5:$A$500,A20)-SUMIFS($I$5:$I$500,$A$5:$A$500,A20)</f>
        <v>0</v>
      </c>
      <c r="L20" s="19" t="s">
        <v>333</v>
      </c>
      <c r="M20" s="19" t="s">
        <v>337</v>
      </c>
      <c r="N20" s="20" t="n">
        <f aca="false">SUMIFS($H$5:H20,$F$5:F20,F20)-SUMIFS($I$5:I20,$F$5:F20,F20)</f>
        <v>-2000</v>
      </c>
    </row>
    <row r="21" customFormat="false" ht="15" hidden="false" customHeight="false" outlineLevel="0" collapsed="false">
      <c r="A21" s="13" t="n">
        <v>6</v>
      </c>
      <c r="B21" s="14" t="n">
        <v>46367.7604166667</v>
      </c>
      <c r="C21" s="7" t="s">
        <v>331</v>
      </c>
      <c r="D21" s="7" t="s">
        <v>316</v>
      </c>
      <c r="E21" s="7" t="s">
        <v>339</v>
      </c>
      <c r="F21" s="7" t="s">
        <v>179</v>
      </c>
      <c r="G21" s="7" t="str">
        <f aca="false">IFERROR(INDEX('Plan de comptes'!$B$5:$B$41,MATCH(F21,'Plan de comptes'!$A$5:$A$41,0)),"COMPTE INCONNU")</f>
        <v>Caisse de recharge C1 (espèces)</v>
      </c>
      <c r="H21" s="15" t="n">
        <v>25000</v>
      </c>
      <c r="I21" s="16"/>
      <c r="J21" s="7" t="str">
        <f aca="false">IFERROR(INDEX('Plan de comptes'!$D$5:$D$41,MATCH(F21,'Plan de comptes'!$A$5:$A$41,0)),"?")</f>
        <v>ORG</v>
      </c>
      <c r="K21" s="16" t="n">
        <f aca="false">SUMIFS($H$5:$H$500,$A$5:$A$500,A21)-SUMIFS($I$5:$I$500,$A$5:$A$500,A21)</f>
        <v>0</v>
      </c>
      <c r="L21" s="7" t="s">
        <v>333</v>
      </c>
      <c r="M21" s="7" t="s">
        <v>340</v>
      </c>
      <c r="N21" s="16" t="n">
        <f aca="false">SUMIFS($H$5:H21,$F$5:F21,F21)-SUMIFS($I$5:I21,$F$5:F21,F21)</f>
        <v>37000</v>
      </c>
    </row>
    <row r="22" customFormat="false" ht="15" hidden="false" customHeight="false" outlineLevel="0" collapsed="false">
      <c r="A22" s="17" t="n">
        <v>6</v>
      </c>
      <c r="B22" s="18" t="n">
        <v>46367.7604166667</v>
      </c>
      <c r="C22" s="19" t="s">
        <v>331</v>
      </c>
      <c r="D22" s="19" t="s">
        <v>316</v>
      </c>
      <c r="E22" s="19" t="s">
        <v>339</v>
      </c>
      <c r="F22" s="19" t="s">
        <v>153</v>
      </c>
      <c r="G22" s="19" t="str">
        <f aca="false">IFERROR(INDEX('Plan de comptes'!$B$5:$B$41,MATCH(F22,'Plan de comptes'!$A$5:$A$41,0)),"COMPTE INCONNU")</f>
        <v>Portefeuille W05 Aminata — crédits payés</v>
      </c>
      <c r="H22" s="20"/>
      <c r="I22" s="20" t="n">
        <f aca="false">H21</f>
        <v>25000</v>
      </c>
      <c r="J22" s="19" t="str">
        <f aca="false">IFERROR(INDEX('Plan de comptes'!$D$5:$D$41,MATCH(F22,'Plan de comptes'!$A$5:$A$41,0)),"?")</f>
        <v>W05</v>
      </c>
      <c r="K22" s="20" t="n">
        <f aca="false">SUMIFS($H$5:$H$500,$A$5:$A$500,A22)-SUMIFS($I$5:$I$500,$A$5:$A$500,A22)</f>
        <v>0</v>
      </c>
      <c r="L22" s="19" t="s">
        <v>333</v>
      </c>
      <c r="M22" s="19" t="s">
        <v>340</v>
      </c>
      <c r="N22" s="20" t="n">
        <f aca="false">SUMIFS($H$5:H22,$F$5:F22,F22)-SUMIFS($I$5:I22,$F$5:F22,F22)</f>
        <v>-25000</v>
      </c>
    </row>
    <row r="23" customFormat="false" ht="15" hidden="false" customHeight="false" outlineLevel="0" collapsed="false">
      <c r="A23" s="13" t="n">
        <v>7</v>
      </c>
      <c r="B23" s="14" t="n">
        <v>46367.7611111111</v>
      </c>
      <c r="C23" s="7" t="s">
        <v>335</v>
      </c>
      <c r="D23" s="7" t="s">
        <v>335</v>
      </c>
      <c r="E23" s="7" t="s">
        <v>341</v>
      </c>
      <c r="F23" s="7" t="s">
        <v>153</v>
      </c>
      <c r="G23" s="7" t="str">
        <f aca="false">IFERROR(INDEX('Plan de comptes'!$B$5:$B$41,MATCH(F23,'Plan de comptes'!$A$5:$A$41,0)),"COMPTE INCONNU")</f>
        <v>Portefeuille W05 Aminata — crédits payés</v>
      </c>
      <c r="H23" s="16" t="n">
        <f aca="false">Paramètres!$C$23</f>
        <v>2000</v>
      </c>
      <c r="I23" s="16"/>
      <c r="J23" s="7" t="str">
        <f aca="false">IFERROR(INDEX('Plan de comptes'!$D$5:$D$41,MATCH(F23,'Plan de comptes'!$A$5:$A$41,0)),"?")</f>
        <v>W05</v>
      </c>
      <c r="K23" s="16" t="n">
        <f aca="false">SUMIFS($H$5:$H$500,$A$5:$A$500,A23)-SUMIFS($I$5:$I$500,$A$5:$A$500,A23)</f>
        <v>0</v>
      </c>
      <c r="L23" s="7" t="s">
        <v>333</v>
      </c>
      <c r="M23" s="7" t="s">
        <v>342</v>
      </c>
      <c r="N23" s="16" t="n">
        <f aca="false">SUMIFS($H$5:H23,$F$5:F23,F23)-SUMIFS($I$5:I23,$F$5:F23,F23)</f>
        <v>-23000</v>
      </c>
    </row>
    <row r="24" customFormat="false" ht="15" hidden="false" customHeight="false" outlineLevel="0" collapsed="false">
      <c r="A24" s="17" t="n">
        <v>7</v>
      </c>
      <c r="B24" s="18" t="n">
        <v>46367.7611111111</v>
      </c>
      <c r="C24" s="19" t="s">
        <v>335</v>
      </c>
      <c r="D24" s="19" t="s">
        <v>335</v>
      </c>
      <c r="E24" s="19" t="s">
        <v>343</v>
      </c>
      <c r="F24" s="19" t="s">
        <v>232</v>
      </c>
      <c r="G24" s="19" t="str">
        <f aca="false">IFERROR(INDEX('Plan de comptes'!$B$5:$B$41,MATCH(F24,'Plan de comptes'!$A$5:$A$41,0)),"COMPTE INCONNU")</f>
        <v>Organisateur — cautions détenues (à rendre)</v>
      </c>
      <c r="H24" s="20"/>
      <c r="I24" s="20" t="n">
        <f aca="false">H23</f>
        <v>2000</v>
      </c>
      <c r="J24" s="19" t="str">
        <f aca="false">IFERROR(INDEX('Plan de comptes'!$D$5:$D$41,MATCH(F24,'Plan de comptes'!$A$5:$A$41,0)),"?")</f>
        <v>ORG</v>
      </c>
      <c r="K24" s="20" t="n">
        <f aca="false">SUMIFS($H$5:$H$500,$A$5:$A$500,A24)-SUMIFS($I$5:$I$500,$A$5:$A$500,A24)</f>
        <v>0</v>
      </c>
      <c r="L24" s="19" t="s">
        <v>333</v>
      </c>
      <c r="M24" s="19" t="s">
        <v>342</v>
      </c>
      <c r="N24" s="20" t="n">
        <f aca="false">SUMIFS($H$5:H24,$F$5:F24,F24)-SUMIFS($I$5:I24,$F$5:F24,F24)</f>
        <v>-4000</v>
      </c>
    </row>
    <row r="25" customFormat="false" ht="15" hidden="false" customHeight="false" outlineLevel="0" collapsed="false">
      <c r="A25" s="13" t="n">
        <v>8</v>
      </c>
      <c r="B25" s="14" t="n">
        <v>46367.7638888889</v>
      </c>
      <c r="C25" s="7" t="s">
        <v>344</v>
      </c>
      <c r="D25" s="7" t="s">
        <v>345</v>
      </c>
      <c r="E25" s="7" t="s">
        <v>346</v>
      </c>
      <c r="F25" s="7" t="s">
        <v>240</v>
      </c>
      <c r="G25" s="7" t="str">
        <f aca="false">IFERROR(INDEX('Plan de comptes'!$B$5:$B$41,MATCH(F25,'Plan de comptes'!$A$5:$A$41,0)),"COMPTE INCONNU")</f>
        <v>Organisateur — financement des crédits offerts</v>
      </c>
      <c r="H25" s="15" t="n">
        <v>6000</v>
      </c>
      <c r="I25" s="16"/>
      <c r="J25" s="7" t="str">
        <f aca="false">IFERROR(INDEX('Plan de comptes'!$D$5:$D$41,MATCH(F25,'Plan de comptes'!$A$5:$A$41,0)),"?")</f>
        <v>ORG</v>
      </c>
      <c r="K25" s="16" t="n">
        <f aca="false">SUMIFS($H$5:$H$500,$A$5:$A$500,A25)-SUMIFS($I$5:$I$500,$A$5:$A$500,A25)</f>
        <v>0</v>
      </c>
      <c r="L25" s="7" t="s">
        <v>347</v>
      </c>
      <c r="M25" s="7" t="s">
        <v>348</v>
      </c>
      <c r="N25" s="16" t="n">
        <f aca="false">SUMIFS($H$5:H25,$F$5:F25,F25)-SUMIFS($I$5:I25,$F$5:F25,F25)</f>
        <v>6000</v>
      </c>
    </row>
    <row r="26" customFormat="false" ht="15" hidden="false" customHeight="false" outlineLevel="0" collapsed="false">
      <c r="A26" s="17" t="n">
        <v>8</v>
      </c>
      <c r="B26" s="18" t="n">
        <v>46367.7638888889</v>
      </c>
      <c r="C26" s="19" t="s">
        <v>344</v>
      </c>
      <c r="D26" s="19" t="s">
        <v>345</v>
      </c>
      <c r="E26" s="19" t="s">
        <v>346</v>
      </c>
      <c r="F26" s="19" t="s">
        <v>157</v>
      </c>
      <c r="G26" s="19" t="str">
        <f aca="false">IFERROR(INDEX('Plan de comptes'!$B$5:$B$41,MATCH(F26,'Plan de comptes'!$A$5:$A$41,0)),"COMPTE INCONNU")</f>
        <v>Portefeuille W06 Ibou — crédits offerts</v>
      </c>
      <c r="H26" s="20"/>
      <c r="I26" s="20" t="n">
        <f aca="false">H25</f>
        <v>6000</v>
      </c>
      <c r="J26" s="19" t="str">
        <f aca="false">IFERROR(INDEX('Plan de comptes'!$D$5:$D$41,MATCH(F26,'Plan de comptes'!$A$5:$A$41,0)),"?")</f>
        <v>W06</v>
      </c>
      <c r="K26" s="20" t="n">
        <f aca="false">SUMIFS($H$5:$H$500,$A$5:$A$500,A26)-SUMIFS($I$5:$I$500,$A$5:$A$500,A26)</f>
        <v>0</v>
      </c>
      <c r="L26" s="19" t="s">
        <v>347</v>
      </c>
      <c r="M26" s="19" t="s">
        <v>348</v>
      </c>
      <c r="N26" s="20" t="n">
        <f aca="false">SUMIFS($H$5:H26,$F$5:F26,F26)-SUMIFS($I$5:I26,$F$5:F26,F26)</f>
        <v>-6000</v>
      </c>
    </row>
    <row r="27" customFormat="false" ht="15" hidden="false" customHeight="false" outlineLevel="0" collapsed="false">
      <c r="A27" s="13" t="n">
        <v>9</v>
      </c>
      <c r="B27" s="14" t="n">
        <v>46367.7708333333</v>
      </c>
      <c r="C27" s="7" t="s">
        <v>349</v>
      </c>
      <c r="D27" s="7" t="s">
        <v>350</v>
      </c>
      <c r="E27" s="7" t="s">
        <v>351</v>
      </c>
      <c r="F27" s="7" t="s">
        <v>137</v>
      </c>
      <c r="G27" s="7" t="str">
        <f aca="false">IFERROR(INDEX('Plan de comptes'!$B$5:$B$41,MATCH(F27,'Plan de comptes'!$A$5:$A$41,0)),"COMPTE INCONNU")</f>
        <v>Portefeuille W01 Awa — crédits payés</v>
      </c>
      <c r="H27" s="16" t="n">
        <f aca="false">Paramètres!$C$10</f>
        <v>1000</v>
      </c>
      <c r="I27" s="16"/>
      <c r="J27" s="7" t="str">
        <f aca="false">IFERROR(INDEX('Plan de comptes'!$D$5:$D$41,MATCH(F27,'Plan de comptes'!$A$5:$A$41,0)),"?")</f>
        <v>W01</v>
      </c>
      <c r="K27" s="16" t="n">
        <f aca="false">SUMIFS($H$5:$H$500,$A$5:$A$500,A27)-SUMIFS($I$5:$I$500,$A$5:$A$500,A27)</f>
        <v>0</v>
      </c>
      <c r="L27" s="7" t="s">
        <v>352</v>
      </c>
      <c r="M27" s="7" t="s">
        <v>353</v>
      </c>
      <c r="N27" s="16" t="n">
        <f aca="false">SUMIFS($H$5:H27,$F$5:F27,F27)-SUMIFS($I$5:I27,$F$5:F27,F27)</f>
        <v>-19000</v>
      </c>
    </row>
    <row r="28" customFormat="false" ht="15" hidden="false" customHeight="false" outlineLevel="0" collapsed="false">
      <c r="A28" s="13" t="n">
        <v>9</v>
      </c>
      <c r="B28" s="14" t="n">
        <v>46367.7708333333</v>
      </c>
      <c r="C28" s="7" t="s">
        <v>349</v>
      </c>
      <c r="D28" s="7" t="s">
        <v>350</v>
      </c>
      <c r="E28" s="7" t="s">
        <v>354</v>
      </c>
      <c r="F28" s="7" t="s">
        <v>141</v>
      </c>
      <c r="G28" s="7" t="str">
        <f aca="false">IFERROR(INDEX('Plan de comptes'!$B$5:$B$41,MATCH(F28,'Plan de comptes'!$A$5:$A$41,0)),"COMPTE INCONNU")</f>
        <v>Portefeuille W02 Moussa — crédits payés</v>
      </c>
      <c r="H28" s="16" t="n">
        <f aca="false">Paramètres!$C$10</f>
        <v>1000</v>
      </c>
      <c r="I28" s="16"/>
      <c r="J28" s="7" t="str">
        <f aca="false">IFERROR(INDEX('Plan de comptes'!$D$5:$D$41,MATCH(F28,'Plan de comptes'!$A$5:$A$41,0)),"?")</f>
        <v>W02</v>
      </c>
      <c r="K28" s="16" t="n">
        <f aca="false">SUMIFS($H$5:$H$500,$A$5:$A$500,A28)-SUMIFS($I$5:$I$500,$A$5:$A$500,A28)</f>
        <v>0</v>
      </c>
      <c r="L28" s="7" t="s">
        <v>352</v>
      </c>
      <c r="M28" s="7" t="s">
        <v>353</v>
      </c>
      <c r="N28" s="16" t="n">
        <f aca="false">SUMIFS($H$5:H28,$F$5:F28,F28)-SUMIFS($I$5:I28,$F$5:F28,F28)</f>
        <v>-14000</v>
      </c>
    </row>
    <row r="29" customFormat="false" ht="15" hidden="false" customHeight="false" outlineLevel="0" collapsed="false">
      <c r="A29" s="13" t="n">
        <v>9</v>
      </c>
      <c r="B29" s="14" t="n">
        <v>46367.7708333333</v>
      </c>
      <c r="C29" s="7" t="s">
        <v>349</v>
      </c>
      <c r="D29" s="7" t="s">
        <v>350</v>
      </c>
      <c r="E29" s="7" t="s">
        <v>355</v>
      </c>
      <c r="F29" s="7" t="s">
        <v>145</v>
      </c>
      <c r="G29" s="7" t="str">
        <f aca="false">IFERROR(INDEX('Plan de comptes'!$B$5:$B$41,MATCH(F29,'Plan de comptes'!$A$5:$A$41,0)),"COMPTE INCONNU")</f>
        <v>Portefeuille W03 Fatou — crédits payés</v>
      </c>
      <c r="H29" s="16" t="n">
        <f aca="false">Paramètres!$C$10</f>
        <v>1000</v>
      </c>
      <c r="I29" s="16"/>
      <c r="J29" s="7" t="str">
        <f aca="false">IFERROR(INDEX('Plan de comptes'!$D$5:$D$41,MATCH(F29,'Plan de comptes'!$A$5:$A$41,0)),"?")</f>
        <v>W03</v>
      </c>
      <c r="K29" s="16" t="n">
        <f aca="false">SUMIFS($H$5:$H$500,$A$5:$A$500,A29)-SUMIFS($I$5:$I$500,$A$5:$A$500,A29)</f>
        <v>0</v>
      </c>
      <c r="L29" s="7" t="s">
        <v>352</v>
      </c>
      <c r="M29" s="7" t="s">
        <v>353</v>
      </c>
      <c r="N29" s="16" t="n">
        <f aca="false">SUMIFS($H$5:H29,$F$5:F29,F29)-SUMIFS($I$5:I29,$F$5:F29,F29)</f>
        <v>-29000</v>
      </c>
    </row>
    <row r="30" customFormat="false" ht="15" hidden="false" customHeight="false" outlineLevel="0" collapsed="false">
      <c r="A30" s="13" t="n">
        <v>9</v>
      </c>
      <c r="B30" s="14" t="n">
        <v>46367.7708333333</v>
      </c>
      <c r="C30" s="7" t="s">
        <v>349</v>
      </c>
      <c r="D30" s="7" t="s">
        <v>350</v>
      </c>
      <c r="E30" s="7" t="s">
        <v>356</v>
      </c>
      <c r="F30" s="7" t="s">
        <v>149</v>
      </c>
      <c r="G30" s="7" t="str">
        <f aca="false">IFERROR(INDEX('Plan de comptes'!$B$5:$B$41,MATCH(F30,'Plan de comptes'!$A$5:$A$41,0)),"COMPTE INCONNU")</f>
        <v>Portefeuille W04 Jean — crédits payés</v>
      </c>
      <c r="H30" s="16" t="n">
        <f aca="false">Paramètres!$C$10</f>
        <v>1000</v>
      </c>
      <c r="I30" s="16"/>
      <c r="J30" s="7" t="str">
        <f aca="false">IFERROR(INDEX('Plan de comptes'!$D$5:$D$41,MATCH(F30,'Plan de comptes'!$A$5:$A$41,0)),"?")</f>
        <v>W04</v>
      </c>
      <c r="K30" s="16" t="n">
        <f aca="false">SUMIFS($H$5:$H$500,$A$5:$A$500,A30)-SUMIFS($I$5:$I$500,$A$5:$A$500,A30)</f>
        <v>0</v>
      </c>
      <c r="L30" s="7" t="s">
        <v>352</v>
      </c>
      <c r="M30" s="7" t="s">
        <v>353</v>
      </c>
      <c r="N30" s="16" t="n">
        <f aca="false">SUMIFS($H$5:H30,$F$5:F30,F30)-SUMIFS($I$5:I30,$F$5:F30,F30)</f>
        <v>-9000</v>
      </c>
    </row>
    <row r="31" customFormat="false" ht="15" hidden="false" customHeight="false" outlineLevel="0" collapsed="false">
      <c r="A31" s="13" t="n">
        <v>9</v>
      </c>
      <c r="B31" s="14" t="n">
        <v>46367.7708333333</v>
      </c>
      <c r="C31" s="7" t="s">
        <v>349</v>
      </c>
      <c r="D31" s="7" t="s">
        <v>350</v>
      </c>
      <c r="E31" s="7" t="s">
        <v>357</v>
      </c>
      <c r="F31" s="7" t="s">
        <v>153</v>
      </c>
      <c r="G31" s="7" t="str">
        <f aca="false">IFERROR(INDEX('Plan de comptes'!$B$5:$B$41,MATCH(F31,'Plan de comptes'!$A$5:$A$41,0)),"COMPTE INCONNU")</f>
        <v>Portefeuille W05 Aminata — crédits payés</v>
      </c>
      <c r="H31" s="16" t="n">
        <f aca="false">Paramètres!$C$10</f>
        <v>1000</v>
      </c>
      <c r="I31" s="16"/>
      <c r="J31" s="7" t="str">
        <f aca="false">IFERROR(INDEX('Plan de comptes'!$D$5:$D$41,MATCH(F31,'Plan de comptes'!$A$5:$A$41,0)),"?")</f>
        <v>W05</v>
      </c>
      <c r="K31" s="16" t="n">
        <f aca="false">SUMIFS($H$5:$H$500,$A$5:$A$500,A31)-SUMIFS($I$5:$I$500,$A$5:$A$500,A31)</f>
        <v>0</v>
      </c>
      <c r="L31" s="7" t="s">
        <v>352</v>
      </c>
      <c r="M31" s="7" t="s">
        <v>353</v>
      </c>
      <c r="N31" s="16" t="n">
        <f aca="false">SUMIFS($H$5:H31,$F$5:F31,F31)-SUMIFS($I$5:I31,$F$5:F31,F31)</f>
        <v>-22000</v>
      </c>
    </row>
    <row r="32" customFormat="false" ht="15" hidden="false" customHeight="false" outlineLevel="0" collapsed="false">
      <c r="A32" s="13" t="n">
        <v>9</v>
      </c>
      <c r="B32" s="14" t="n">
        <v>46367.7708333333</v>
      </c>
      <c r="C32" s="7" t="s">
        <v>349</v>
      </c>
      <c r="D32" s="7" t="s">
        <v>350</v>
      </c>
      <c r="E32" s="7" t="s">
        <v>358</v>
      </c>
      <c r="F32" s="7" t="s">
        <v>221</v>
      </c>
      <c r="G32" s="7" t="str">
        <f aca="false">IFERROR(INDEX('Plan de comptes'!$B$5:$B$41,MATCH(F32,'Plan de comptes'!$A$5:$A$41,0)),"COMPTE INCONNU")</f>
        <v>Organisateur — frais festivaliers</v>
      </c>
      <c r="H32" s="16"/>
      <c r="I32" s="16" t="n">
        <f aca="false">SUM(H27:H31)-ROUND(SUM(H27:H31)*Paramètres!$C$21/(1+Paramètres!$C$21),0)</f>
        <v>4237</v>
      </c>
      <c r="J32" s="7" t="str">
        <f aca="false">IFERROR(INDEX('Plan de comptes'!$D$5:$D$41,MATCH(F32,'Plan de comptes'!$A$5:$A$41,0)),"?")</f>
        <v>ORG</v>
      </c>
      <c r="K32" s="16" t="n">
        <f aca="false">SUMIFS($H$5:$H$500,$A$5:$A$500,A32)-SUMIFS($I$5:$I$500,$A$5:$A$500,A32)</f>
        <v>0</v>
      </c>
      <c r="L32" s="7" t="s">
        <v>352</v>
      </c>
      <c r="M32" s="7" t="s">
        <v>353</v>
      </c>
      <c r="N32" s="16" t="n">
        <f aca="false">SUMIFS($H$5:H32,$F$5:F32,F32)-SUMIFS($I$5:I32,$F$5:F32,F32)</f>
        <v>-4237</v>
      </c>
    </row>
    <row r="33" customFormat="false" ht="15" hidden="false" customHeight="false" outlineLevel="0" collapsed="false">
      <c r="A33" s="17" t="n">
        <v>9</v>
      </c>
      <c r="B33" s="18" t="n">
        <v>46367.7708333333</v>
      </c>
      <c r="C33" s="19" t="s">
        <v>349</v>
      </c>
      <c r="D33" s="19" t="s">
        <v>350</v>
      </c>
      <c r="E33" s="19" t="s">
        <v>359</v>
      </c>
      <c r="F33" s="19" t="s">
        <v>224</v>
      </c>
      <c r="G33" s="19" t="str">
        <f aca="false">IFERROR(INDEX('Plan de comptes'!$B$5:$B$41,MATCH(F33,'Plan de comptes'!$A$5:$A$41,0)),"COMPTE INCONNU")</f>
        <v>Organisateur — taxe collectée (à reverser à l'État)</v>
      </c>
      <c r="H33" s="20"/>
      <c r="I33" s="20" t="n">
        <f aca="false">ROUND(SUM(H27:H31)*Paramètres!$C$21/(1+Paramètres!$C$21),0)</f>
        <v>763</v>
      </c>
      <c r="J33" s="19" t="str">
        <f aca="false">IFERROR(INDEX('Plan de comptes'!$D$5:$D$41,MATCH(F33,'Plan de comptes'!$A$5:$A$41,0)),"?")</f>
        <v>ORG</v>
      </c>
      <c r="K33" s="20" t="n">
        <f aca="false">SUMIFS($H$5:$H$500,$A$5:$A$500,A33)-SUMIFS($I$5:$I$500,$A$5:$A$500,A33)</f>
        <v>0</v>
      </c>
      <c r="L33" s="19" t="s">
        <v>352</v>
      </c>
      <c r="M33" s="19" t="s">
        <v>353</v>
      </c>
      <c r="N33" s="20" t="n">
        <f aca="false">SUMIFS($H$5:H33,$F$5:F33,F33)-SUMIFS($I$5:I33,$F$5:F33,F33)</f>
        <v>-763</v>
      </c>
    </row>
    <row r="34" customFormat="false" ht="15" hidden="false" customHeight="false" outlineLevel="0" collapsed="false">
      <c r="A34" s="13" t="n">
        <v>10</v>
      </c>
      <c r="B34" s="14" t="n">
        <v>46367.7986111111</v>
      </c>
      <c r="C34" s="7" t="s">
        <v>360</v>
      </c>
      <c r="D34" s="7" t="s">
        <v>360</v>
      </c>
      <c r="E34" s="7" t="s">
        <v>361</v>
      </c>
      <c r="F34" s="7" t="s">
        <v>137</v>
      </c>
      <c r="G34" s="7" t="str">
        <f aca="false">IFERROR(INDEX('Plan de comptes'!$B$5:$B$41,MATCH(F34,'Plan de comptes'!$A$5:$A$41,0)),"COMPTE INCONNU")</f>
        <v>Portefeuille W01 Awa — crédits payés</v>
      </c>
      <c r="H34" s="15" t="n">
        <v>6000</v>
      </c>
      <c r="I34" s="16"/>
      <c r="J34" s="7" t="str">
        <f aca="false">IFERROR(INDEX('Plan de comptes'!$D$5:$D$41,MATCH(F34,'Plan de comptes'!$A$5:$A$41,0)),"?")</f>
        <v>W01</v>
      </c>
      <c r="K34" s="16" t="n">
        <f aca="false">SUMIFS($H$5:$H$500,$A$5:$A$500,A34)-SUMIFS($I$5:$I$500,$A$5:$A$500,A34)</f>
        <v>0</v>
      </c>
      <c r="L34" s="7" t="s">
        <v>333</v>
      </c>
      <c r="M34" s="7" t="s">
        <v>362</v>
      </c>
      <c r="N34" s="16" t="n">
        <f aca="false">SUMIFS($H$5:H34,$F$5:F34,F34)-SUMIFS($I$5:I34,$F$5:F34,F34)</f>
        <v>-13000</v>
      </c>
    </row>
    <row r="35" customFormat="false" ht="15" hidden="false" customHeight="false" outlineLevel="0" collapsed="false">
      <c r="A35" s="13" t="n">
        <v>10</v>
      </c>
      <c r="B35" s="14" t="n">
        <v>46367.7986111111</v>
      </c>
      <c r="C35" s="7" t="s">
        <v>360</v>
      </c>
      <c r="D35" s="7" t="s">
        <v>360</v>
      </c>
      <c r="E35" s="7" t="s">
        <v>363</v>
      </c>
      <c r="F35" s="7" t="s">
        <v>209</v>
      </c>
      <c r="G35" s="7" t="str">
        <f aca="false">IFERROR(INDEX('Plan de comptes'!$B$5:$B$41,MATCH(F35,'Plan de comptes'!$A$5:$A$41,0)),"COMPTE INCONNU")</f>
        <v>Commerçant externe — Food truck</v>
      </c>
      <c r="H35" s="16"/>
      <c r="I35" s="16" t="n">
        <f aca="false">H34</f>
        <v>6000</v>
      </c>
      <c r="J35" s="7" t="str">
        <f aca="false">IFERROR(INDEX('Plan de comptes'!$D$5:$D$41,MATCH(F35,'Plan de comptes'!$A$5:$A$41,0)),"?")</f>
        <v>FOOD</v>
      </c>
      <c r="K35" s="16" t="n">
        <f aca="false">SUMIFS($H$5:$H$500,$A$5:$A$500,A35)-SUMIFS($I$5:$I$500,$A$5:$A$500,A35)</f>
        <v>0</v>
      </c>
      <c r="L35" s="7" t="s">
        <v>333</v>
      </c>
      <c r="M35" s="7" t="s">
        <v>362</v>
      </c>
      <c r="N35" s="16" t="n">
        <f aca="false">SUMIFS($H$5:H35,$F$5:F35,F35)-SUMIFS($I$5:I35,$F$5:F35,F35)</f>
        <v>-6000</v>
      </c>
    </row>
    <row r="36" customFormat="false" ht="15" hidden="false" customHeight="false" outlineLevel="0" collapsed="false">
      <c r="A36" s="13" t="n">
        <v>10</v>
      </c>
      <c r="B36" s="14" t="n">
        <v>46367.7986111111</v>
      </c>
      <c r="C36" s="7" t="s">
        <v>360</v>
      </c>
      <c r="D36" s="7" t="s">
        <v>364</v>
      </c>
      <c r="E36" s="7" t="s">
        <v>365</v>
      </c>
      <c r="F36" s="7" t="s">
        <v>209</v>
      </c>
      <c r="G36" s="7" t="str">
        <f aca="false">IFERROR(INDEX('Plan de comptes'!$B$5:$B$41,MATCH(F36,'Plan de comptes'!$A$5:$A$41,0)),"COMPTE INCONNU")</f>
        <v>Commerçant externe — Food truck</v>
      </c>
      <c r="H36" s="16" t="n">
        <f aca="false">ROUND(I35*Paramètres!$C$12,0)</f>
        <v>720</v>
      </c>
      <c r="I36" s="16"/>
      <c r="J36" s="7" t="str">
        <f aca="false">IFERROR(INDEX('Plan de comptes'!$D$5:$D$41,MATCH(F36,'Plan de comptes'!$A$5:$A$41,0)),"?")</f>
        <v>FOOD</v>
      </c>
      <c r="K36" s="16" t="n">
        <f aca="false">SUMIFS($H$5:$H$500,$A$5:$A$500,A36)-SUMIFS($I$5:$I$500,$A$5:$A$500,A36)</f>
        <v>0</v>
      </c>
      <c r="L36" s="7" t="s">
        <v>333</v>
      </c>
      <c r="M36" s="7" t="s">
        <v>362</v>
      </c>
      <c r="N36" s="16" t="n">
        <f aca="false">SUMIFS($H$5:H36,$F$5:F36,F36)-SUMIFS($I$5:I36,$F$5:F36,F36)</f>
        <v>-5280</v>
      </c>
    </row>
    <row r="37" customFormat="false" ht="15" hidden="false" customHeight="false" outlineLevel="0" collapsed="false">
      <c r="A37" s="13" t="n">
        <v>10</v>
      </c>
      <c r="B37" s="14" t="n">
        <v>46367.7986111111</v>
      </c>
      <c r="C37" s="7" t="s">
        <v>360</v>
      </c>
      <c r="D37" s="7" t="s">
        <v>364</v>
      </c>
      <c r="E37" s="7" t="s">
        <v>366</v>
      </c>
      <c r="F37" s="7" t="s">
        <v>214</v>
      </c>
      <c r="G37" s="7" t="str">
        <f aca="false">IFERROR(INDEX('Plan de comptes'!$B$5:$B$41,MATCH(F37,'Plan de comptes'!$A$5:$A$41,0)),"COMPTE INCONNU")</f>
        <v>Organisateur — commissions</v>
      </c>
      <c r="H37" s="16"/>
      <c r="I37" s="16" t="n">
        <f aca="false">H36-ROUND(H36*Paramètres!$C$21/(1+Paramètres!$C$21),0)</f>
        <v>610</v>
      </c>
      <c r="J37" s="7" t="str">
        <f aca="false">IFERROR(INDEX('Plan de comptes'!$D$5:$D$41,MATCH(F37,'Plan de comptes'!$A$5:$A$41,0)),"?")</f>
        <v>ORG</v>
      </c>
      <c r="K37" s="16" t="n">
        <f aca="false">SUMIFS($H$5:$H$500,$A$5:$A$500,A37)-SUMIFS($I$5:$I$500,$A$5:$A$500,A37)</f>
        <v>0</v>
      </c>
      <c r="L37" s="7" t="s">
        <v>333</v>
      </c>
      <c r="M37" s="7" t="s">
        <v>362</v>
      </c>
      <c r="N37" s="16" t="n">
        <f aca="false">SUMIFS($H$5:H37,$F$5:F37,F37)-SUMIFS($I$5:I37,$F$5:F37,F37)</f>
        <v>-610</v>
      </c>
    </row>
    <row r="38" customFormat="false" ht="15" hidden="false" customHeight="false" outlineLevel="0" collapsed="false">
      <c r="A38" s="17" t="n">
        <v>10</v>
      </c>
      <c r="B38" s="18" t="n">
        <v>46367.7986111111</v>
      </c>
      <c r="C38" s="19" t="s">
        <v>360</v>
      </c>
      <c r="D38" s="19" t="s">
        <v>364</v>
      </c>
      <c r="E38" s="19" t="s">
        <v>367</v>
      </c>
      <c r="F38" s="19" t="s">
        <v>224</v>
      </c>
      <c r="G38" s="19" t="str">
        <f aca="false">IFERROR(INDEX('Plan de comptes'!$B$5:$B$41,MATCH(F38,'Plan de comptes'!$A$5:$A$41,0)),"COMPTE INCONNU")</f>
        <v>Organisateur — taxe collectée (à reverser à l'État)</v>
      </c>
      <c r="H38" s="20"/>
      <c r="I38" s="20" t="n">
        <f aca="false">ROUND(H36*Paramètres!$C$21/(1+Paramètres!$C$21),0)</f>
        <v>110</v>
      </c>
      <c r="J38" s="19" t="str">
        <f aca="false">IFERROR(INDEX('Plan de comptes'!$D$5:$D$41,MATCH(F38,'Plan de comptes'!$A$5:$A$41,0)),"?")</f>
        <v>ORG</v>
      </c>
      <c r="K38" s="20" t="n">
        <f aca="false">SUMIFS($H$5:$H$500,$A$5:$A$500,A38)-SUMIFS($I$5:$I$500,$A$5:$A$500,A38)</f>
        <v>0</v>
      </c>
      <c r="L38" s="19" t="s">
        <v>333</v>
      </c>
      <c r="M38" s="19" t="s">
        <v>362</v>
      </c>
      <c r="N38" s="20" t="n">
        <f aca="false">SUMIFS($H$5:H38,$F$5:F38,F38)-SUMIFS($I$5:I38,$F$5:F38,F38)</f>
        <v>-873</v>
      </c>
    </row>
    <row r="39" customFormat="false" ht="15" hidden="false" customHeight="false" outlineLevel="0" collapsed="false">
      <c r="A39" s="13" t="n">
        <v>11</v>
      </c>
      <c r="B39" s="14" t="n">
        <v>46367.8368055556</v>
      </c>
      <c r="C39" s="7" t="s">
        <v>360</v>
      </c>
      <c r="D39" s="7" t="s">
        <v>360</v>
      </c>
      <c r="E39" s="7" t="s">
        <v>368</v>
      </c>
      <c r="F39" s="7" t="s">
        <v>137</v>
      </c>
      <c r="G39" s="7" t="str">
        <f aca="false">IFERROR(INDEX('Plan de comptes'!$B$5:$B$41,MATCH(F39,'Plan de comptes'!$A$5:$A$41,0)),"COMPTE INCONNU")</f>
        <v>Portefeuille W01 Awa — crédits payés</v>
      </c>
      <c r="H39" s="15" t="n">
        <v>4000</v>
      </c>
      <c r="I39" s="16"/>
      <c r="J39" s="7" t="str">
        <f aca="false">IFERROR(INDEX('Plan de comptes'!$D$5:$D$41,MATCH(F39,'Plan de comptes'!$A$5:$A$41,0)),"?")</f>
        <v>W01</v>
      </c>
      <c r="K39" s="16" t="n">
        <f aca="false">SUMIFS($H$5:$H$500,$A$5:$A$500,A39)-SUMIFS($I$5:$I$500,$A$5:$A$500,A39)</f>
        <v>0</v>
      </c>
      <c r="L39" s="7" t="s">
        <v>333</v>
      </c>
      <c r="M39" s="7" t="s">
        <v>369</v>
      </c>
      <c r="N39" s="16" t="n">
        <f aca="false">SUMIFS($H$5:H39,$F$5:F39,F39)-SUMIFS($I$5:I39,$F$5:F39,F39)</f>
        <v>-9000</v>
      </c>
    </row>
    <row r="40" customFormat="false" ht="15" hidden="false" customHeight="false" outlineLevel="0" collapsed="false">
      <c r="A40" s="17" t="n">
        <v>11</v>
      </c>
      <c r="B40" s="18" t="n">
        <v>46367.8368055556</v>
      </c>
      <c r="C40" s="19" t="s">
        <v>360</v>
      </c>
      <c r="D40" s="19" t="s">
        <v>360</v>
      </c>
      <c r="E40" s="19" t="s">
        <v>370</v>
      </c>
      <c r="F40" s="19" t="s">
        <v>204</v>
      </c>
      <c r="G40" s="19" t="str">
        <f aca="false">IFERROR(INDEX('Plan de comptes'!$B$5:$B$41,MATCH(F40,'Plan de comptes'!$A$5:$A$41,0)),"COMPTE INCONNU")</f>
        <v>Commerçant interne — Bar de l'organisateur</v>
      </c>
      <c r="H40" s="20"/>
      <c r="I40" s="20" t="n">
        <f aca="false">H39</f>
        <v>4000</v>
      </c>
      <c r="J40" s="19" t="str">
        <f aca="false">IFERROR(INDEX('Plan de comptes'!$D$5:$D$41,MATCH(F40,'Plan de comptes'!$A$5:$A$41,0)),"?")</f>
        <v>BAR</v>
      </c>
      <c r="K40" s="20" t="n">
        <f aca="false">SUMIFS($H$5:$H$500,$A$5:$A$500,A40)-SUMIFS($I$5:$I$500,$A$5:$A$500,A40)</f>
        <v>0</v>
      </c>
      <c r="L40" s="19" t="s">
        <v>333</v>
      </c>
      <c r="M40" s="19" t="s">
        <v>369</v>
      </c>
      <c r="N40" s="20" t="n">
        <f aca="false">SUMIFS($H$5:H40,$F$5:F40,F40)-SUMIFS($I$5:I40,$F$5:F40,F40)</f>
        <v>-4000</v>
      </c>
    </row>
    <row r="41" customFormat="false" ht="15" hidden="false" customHeight="false" outlineLevel="0" collapsed="false">
      <c r="A41" s="13" t="n">
        <v>12</v>
      </c>
      <c r="B41" s="14" t="n">
        <v>46367.8541666667</v>
      </c>
      <c r="C41" s="7" t="s">
        <v>360</v>
      </c>
      <c r="D41" s="7" t="s">
        <v>360</v>
      </c>
      <c r="E41" s="7" t="s">
        <v>371</v>
      </c>
      <c r="F41" s="7" t="s">
        <v>141</v>
      </c>
      <c r="G41" s="7" t="str">
        <f aca="false">IFERROR(INDEX('Plan de comptes'!$B$5:$B$41,MATCH(F41,'Plan de comptes'!$A$5:$A$41,0)),"COMPTE INCONNU")</f>
        <v>Portefeuille W02 Moussa — crédits payés</v>
      </c>
      <c r="H41" s="15" t="n">
        <v>12000</v>
      </c>
      <c r="I41" s="16"/>
      <c r="J41" s="7" t="str">
        <f aca="false">IFERROR(INDEX('Plan de comptes'!$D$5:$D$41,MATCH(F41,'Plan de comptes'!$A$5:$A$41,0)),"?")</f>
        <v>W02</v>
      </c>
      <c r="K41" s="16" t="n">
        <f aca="false">SUMIFS($H$5:$H$500,$A$5:$A$500,A41)-SUMIFS($I$5:$I$500,$A$5:$A$500,A41)</f>
        <v>0</v>
      </c>
      <c r="L41" s="7" t="s">
        <v>333</v>
      </c>
      <c r="M41" s="7" t="s">
        <v>372</v>
      </c>
      <c r="N41" s="16" t="n">
        <f aca="false">SUMIFS($H$5:H41,$F$5:F41,F41)-SUMIFS($I$5:I41,$F$5:F41,F41)</f>
        <v>-2000</v>
      </c>
    </row>
    <row r="42" customFormat="false" ht="15" hidden="false" customHeight="false" outlineLevel="0" collapsed="false">
      <c r="A42" s="13" t="n">
        <v>12</v>
      </c>
      <c r="B42" s="14" t="n">
        <v>46367.8541666667</v>
      </c>
      <c r="C42" s="7" t="s">
        <v>360</v>
      </c>
      <c r="D42" s="7" t="s">
        <v>360</v>
      </c>
      <c r="E42" s="7" t="s">
        <v>373</v>
      </c>
      <c r="F42" s="7" t="s">
        <v>212</v>
      </c>
      <c r="G42" s="7" t="str">
        <f aca="false">IFERROR(INDEX('Plan de comptes'!$B$5:$B$41,MATCH(F42,'Plan de comptes'!$A$5:$A$41,0)),"COMPTE INCONNU")</f>
        <v>Commerçant externe — Tee-shirts</v>
      </c>
      <c r="H42" s="16"/>
      <c r="I42" s="16" t="n">
        <f aca="false">H41</f>
        <v>12000</v>
      </c>
      <c r="J42" s="7" t="str">
        <f aca="false">IFERROR(INDEX('Plan de comptes'!$D$5:$D$41,MATCH(F42,'Plan de comptes'!$A$5:$A$41,0)),"?")</f>
        <v>TEE</v>
      </c>
      <c r="K42" s="16" t="n">
        <f aca="false">SUMIFS($H$5:$H$500,$A$5:$A$500,A42)-SUMIFS($I$5:$I$500,$A$5:$A$500,A42)</f>
        <v>0</v>
      </c>
      <c r="L42" s="7" t="s">
        <v>333</v>
      </c>
      <c r="M42" s="7" t="s">
        <v>372</v>
      </c>
      <c r="N42" s="16" t="n">
        <f aca="false">SUMIFS($H$5:H42,$F$5:F42,F42)-SUMIFS($I$5:I42,$F$5:F42,F42)</f>
        <v>-12000</v>
      </c>
    </row>
    <row r="43" customFormat="false" ht="15" hidden="false" customHeight="false" outlineLevel="0" collapsed="false">
      <c r="A43" s="13" t="n">
        <v>12</v>
      </c>
      <c r="B43" s="14" t="n">
        <v>46367.8541666667</v>
      </c>
      <c r="C43" s="7" t="s">
        <v>360</v>
      </c>
      <c r="D43" s="7" t="s">
        <v>364</v>
      </c>
      <c r="E43" s="7" t="s">
        <v>374</v>
      </c>
      <c r="F43" s="7" t="s">
        <v>212</v>
      </c>
      <c r="G43" s="7" t="str">
        <f aca="false">IFERROR(INDEX('Plan de comptes'!$B$5:$B$41,MATCH(F43,'Plan de comptes'!$A$5:$A$41,0)),"COMPTE INCONNU")</f>
        <v>Commerçant externe — Tee-shirts</v>
      </c>
      <c r="H43" s="16" t="n">
        <f aca="false">ROUND(I42*Paramètres!$C$13,0)</f>
        <v>1200</v>
      </c>
      <c r="I43" s="16"/>
      <c r="J43" s="7" t="str">
        <f aca="false">IFERROR(INDEX('Plan de comptes'!$D$5:$D$41,MATCH(F43,'Plan de comptes'!$A$5:$A$41,0)),"?")</f>
        <v>TEE</v>
      </c>
      <c r="K43" s="16" t="n">
        <f aca="false">SUMIFS($H$5:$H$500,$A$5:$A$500,A43)-SUMIFS($I$5:$I$500,$A$5:$A$500,A43)</f>
        <v>0</v>
      </c>
      <c r="L43" s="7" t="s">
        <v>333</v>
      </c>
      <c r="M43" s="7" t="s">
        <v>372</v>
      </c>
      <c r="N43" s="16" t="n">
        <f aca="false">SUMIFS($H$5:H43,$F$5:F43,F43)-SUMIFS($I$5:I43,$F$5:F43,F43)</f>
        <v>-10800</v>
      </c>
    </row>
    <row r="44" customFormat="false" ht="15" hidden="false" customHeight="false" outlineLevel="0" collapsed="false">
      <c r="A44" s="13" t="n">
        <v>12</v>
      </c>
      <c r="B44" s="14" t="n">
        <v>46367.8541666667</v>
      </c>
      <c r="C44" s="7" t="s">
        <v>360</v>
      </c>
      <c r="D44" s="7" t="s">
        <v>364</v>
      </c>
      <c r="E44" s="7" t="s">
        <v>375</v>
      </c>
      <c r="F44" s="7" t="s">
        <v>214</v>
      </c>
      <c r="G44" s="7" t="str">
        <f aca="false">IFERROR(INDEX('Plan de comptes'!$B$5:$B$41,MATCH(F44,'Plan de comptes'!$A$5:$A$41,0)),"COMPTE INCONNU")</f>
        <v>Organisateur — commissions</v>
      </c>
      <c r="H44" s="16"/>
      <c r="I44" s="16" t="n">
        <f aca="false">H43-ROUND(H43*Paramètres!$C$21/(1+Paramètres!$C$21),0)</f>
        <v>1017</v>
      </c>
      <c r="J44" s="7" t="str">
        <f aca="false">IFERROR(INDEX('Plan de comptes'!$D$5:$D$41,MATCH(F44,'Plan de comptes'!$A$5:$A$41,0)),"?")</f>
        <v>ORG</v>
      </c>
      <c r="K44" s="16" t="n">
        <f aca="false">SUMIFS($H$5:$H$500,$A$5:$A$500,A44)-SUMIFS($I$5:$I$500,$A$5:$A$500,A44)</f>
        <v>0</v>
      </c>
      <c r="L44" s="7" t="s">
        <v>333</v>
      </c>
      <c r="M44" s="7" t="s">
        <v>372</v>
      </c>
      <c r="N44" s="16" t="n">
        <f aca="false">SUMIFS($H$5:H44,$F$5:F44,F44)-SUMIFS($I$5:I44,$F$5:F44,F44)</f>
        <v>-1627</v>
      </c>
    </row>
    <row r="45" customFormat="false" ht="15" hidden="false" customHeight="false" outlineLevel="0" collapsed="false">
      <c r="A45" s="17" t="n">
        <v>12</v>
      </c>
      <c r="B45" s="18" t="n">
        <v>46367.8541666667</v>
      </c>
      <c r="C45" s="19" t="s">
        <v>360</v>
      </c>
      <c r="D45" s="19" t="s">
        <v>364</v>
      </c>
      <c r="E45" s="19" t="s">
        <v>376</v>
      </c>
      <c r="F45" s="19" t="s">
        <v>224</v>
      </c>
      <c r="G45" s="19" t="str">
        <f aca="false">IFERROR(INDEX('Plan de comptes'!$B$5:$B$41,MATCH(F45,'Plan de comptes'!$A$5:$A$41,0)),"COMPTE INCONNU")</f>
        <v>Organisateur — taxe collectée (à reverser à l'État)</v>
      </c>
      <c r="H45" s="20"/>
      <c r="I45" s="20" t="n">
        <f aca="false">ROUND(H43*Paramètres!$C$21/(1+Paramètres!$C$21),0)</f>
        <v>183</v>
      </c>
      <c r="J45" s="19" t="str">
        <f aca="false">IFERROR(INDEX('Plan de comptes'!$D$5:$D$41,MATCH(F45,'Plan de comptes'!$A$5:$A$41,0)),"?")</f>
        <v>ORG</v>
      </c>
      <c r="K45" s="20" t="n">
        <f aca="false">SUMIFS($H$5:$H$500,$A$5:$A$500,A45)-SUMIFS($I$5:$I$500,$A$5:$A$500,A45)</f>
        <v>0</v>
      </c>
      <c r="L45" s="19" t="s">
        <v>333</v>
      </c>
      <c r="M45" s="19" t="s">
        <v>372</v>
      </c>
      <c r="N45" s="20" t="n">
        <f aca="false">SUMIFS($H$5:H45,$F$5:F45,F45)-SUMIFS($I$5:I45,$F$5:F45,F45)</f>
        <v>-1056</v>
      </c>
    </row>
    <row r="46" customFormat="false" ht="15" hidden="false" customHeight="false" outlineLevel="0" collapsed="false">
      <c r="A46" s="13" t="n">
        <v>13</v>
      </c>
      <c r="B46" s="14" t="n">
        <v>46367.875</v>
      </c>
      <c r="C46" s="7" t="s">
        <v>360</v>
      </c>
      <c r="D46" s="7" t="s">
        <v>360</v>
      </c>
      <c r="E46" s="7" t="s">
        <v>377</v>
      </c>
      <c r="F46" s="7" t="s">
        <v>145</v>
      </c>
      <c r="G46" s="7" t="str">
        <f aca="false">IFERROR(INDEX('Plan de comptes'!$B$5:$B$41,MATCH(F46,'Plan de comptes'!$A$5:$A$41,0)),"COMPTE INCONNU")</f>
        <v>Portefeuille W03 Fatou — crédits payés</v>
      </c>
      <c r="H46" s="15" t="n">
        <v>9000</v>
      </c>
      <c r="I46" s="16"/>
      <c r="J46" s="7" t="str">
        <f aca="false">IFERROR(INDEX('Plan de comptes'!$D$5:$D$41,MATCH(F46,'Plan de comptes'!$A$5:$A$41,0)),"?")</f>
        <v>W03</v>
      </c>
      <c r="K46" s="16" t="n">
        <f aca="false">SUMIFS($H$5:$H$500,$A$5:$A$500,A46)-SUMIFS($I$5:$I$500,$A$5:$A$500,A46)</f>
        <v>0</v>
      </c>
      <c r="L46" s="7" t="s">
        <v>333</v>
      </c>
      <c r="M46" s="7" t="s">
        <v>378</v>
      </c>
      <c r="N46" s="16" t="n">
        <f aca="false">SUMIFS($H$5:H46,$F$5:F46,F46)-SUMIFS($I$5:I46,$F$5:F46,F46)</f>
        <v>-20000</v>
      </c>
    </row>
    <row r="47" customFormat="false" ht="15" hidden="false" customHeight="false" outlineLevel="0" collapsed="false">
      <c r="A47" s="13" t="n">
        <v>13</v>
      </c>
      <c r="B47" s="14" t="n">
        <v>46367.875</v>
      </c>
      <c r="C47" s="7" t="s">
        <v>360</v>
      </c>
      <c r="D47" s="7" t="s">
        <v>360</v>
      </c>
      <c r="E47" s="7" t="s">
        <v>379</v>
      </c>
      <c r="F47" s="7" t="s">
        <v>209</v>
      </c>
      <c r="G47" s="7" t="str">
        <f aca="false">IFERROR(INDEX('Plan de comptes'!$B$5:$B$41,MATCH(F47,'Plan de comptes'!$A$5:$A$41,0)),"COMPTE INCONNU")</f>
        <v>Commerçant externe — Food truck</v>
      </c>
      <c r="H47" s="16"/>
      <c r="I47" s="16" t="n">
        <f aca="false">H46</f>
        <v>9000</v>
      </c>
      <c r="J47" s="7" t="str">
        <f aca="false">IFERROR(INDEX('Plan de comptes'!$D$5:$D$41,MATCH(F47,'Plan de comptes'!$A$5:$A$41,0)),"?")</f>
        <v>FOOD</v>
      </c>
      <c r="K47" s="16" t="n">
        <f aca="false">SUMIFS($H$5:$H$500,$A$5:$A$500,A47)-SUMIFS($I$5:$I$500,$A$5:$A$500,A47)</f>
        <v>0</v>
      </c>
      <c r="L47" s="7" t="s">
        <v>333</v>
      </c>
      <c r="M47" s="7" t="s">
        <v>378</v>
      </c>
      <c r="N47" s="16" t="n">
        <f aca="false">SUMIFS($H$5:H47,$F$5:F47,F47)-SUMIFS($I$5:I47,$F$5:F47,F47)</f>
        <v>-14280</v>
      </c>
    </row>
    <row r="48" customFormat="false" ht="15" hidden="false" customHeight="false" outlineLevel="0" collapsed="false">
      <c r="A48" s="13" t="n">
        <v>13</v>
      </c>
      <c r="B48" s="14" t="n">
        <v>46367.875</v>
      </c>
      <c r="C48" s="7" t="s">
        <v>360</v>
      </c>
      <c r="D48" s="7" t="s">
        <v>364</v>
      </c>
      <c r="E48" s="7" t="s">
        <v>365</v>
      </c>
      <c r="F48" s="7" t="s">
        <v>209</v>
      </c>
      <c r="G48" s="7" t="str">
        <f aca="false">IFERROR(INDEX('Plan de comptes'!$B$5:$B$41,MATCH(F48,'Plan de comptes'!$A$5:$A$41,0)),"COMPTE INCONNU")</f>
        <v>Commerçant externe — Food truck</v>
      </c>
      <c r="H48" s="16" t="n">
        <f aca="false">ROUND(I47*Paramètres!$C$12,0)</f>
        <v>1080</v>
      </c>
      <c r="I48" s="16"/>
      <c r="J48" s="7" t="str">
        <f aca="false">IFERROR(INDEX('Plan de comptes'!$D$5:$D$41,MATCH(F48,'Plan de comptes'!$A$5:$A$41,0)),"?")</f>
        <v>FOOD</v>
      </c>
      <c r="K48" s="16" t="n">
        <f aca="false">SUMIFS($H$5:$H$500,$A$5:$A$500,A48)-SUMIFS($I$5:$I$500,$A$5:$A$500,A48)</f>
        <v>0</v>
      </c>
      <c r="L48" s="7" t="s">
        <v>333</v>
      </c>
      <c r="M48" s="7" t="s">
        <v>378</v>
      </c>
      <c r="N48" s="16" t="n">
        <f aca="false">SUMIFS($H$5:H48,$F$5:F48,F48)-SUMIFS($I$5:I48,$F$5:F48,F48)</f>
        <v>-13200</v>
      </c>
    </row>
    <row r="49" customFormat="false" ht="15" hidden="false" customHeight="false" outlineLevel="0" collapsed="false">
      <c r="A49" s="13" t="n">
        <v>13</v>
      </c>
      <c r="B49" s="14" t="n">
        <v>46367.875</v>
      </c>
      <c r="C49" s="7" t="s">
        <v>360</v>
      </c>
      <c r="D49" s="7" t="s">
        <v>364</v>
      </c>
      <c r="E49" s="7" t="s">
        <v>366</v>
      </c>
      <c r="F49" s="7" t="s">
        <v>214</v>
      </c>
      <c r="G49" s="7" t="str">
        <f aca="false">IFERROR(INDEX('Plan de comptes'!$B$5:$B$41,MATCH(F49,'Plan de comptes'!$A$5:$A$41,0)),"COMPTE INCONNU")</f>
        <v>Organisateur — commissions</v>
      </c>
      <c r="H49" s="16"/>
      <c r="I49" s="16" t="n">
        <f aca="false">H48-ROUND(H48*Paramètres!$C$21/(1+Paramètres!$C$21),0)</f>
        <v>915</v>
      </c>
      <c r="J49" s="7" t="str">
        <f aca="false">IFERROR(INDEX('Plan de comptes'!$D$5:$D$41,MATCH(F49,'Plan de comptes'!$A$5:$A$41,0)),"?")</f>
        <v>ORG</v>
      </c>
      <c r="K49" s="16" t="n">
        <f aca="false">SUMIFS($H$5:$H$500,$A$5:$A$500,A49)-SUMIFS($I$5:$I$500,$A$5:$A$500,A49)</f>
        <v>0</v>
      </c>
      <c r="L49" s="7" t="s">
        <v>333</v>
      </c>
      <c r="M49" s="7" t="s">
        <v>378</v>
      </c>
      <c r="N49" s="16" t="n">
        <f aca="false">SUMIFS($H$5:H49,$F$5:F49,F49)-SUMIFS($I$5:I49,$F$5:F49,F49)</f>
        <v>-2542</v>
      </c>
    </row>
    <row r="50" customFormat="false" ht="15" hidden="false" customHeight="false" outlineLevel="0" collapsed="false">
      <c r="A50" s="17" t="n">
        <v>13</v>
      </c>
      <c r="B50" s="18" t="n">
        <v>46367.875</v>
      </c>
      <c r="C50" s="19" t="s">
        <v>360</v>
      </c>
      <c r="D50" s="19" t="s">
        <v>364</v>
      </c>
      <c r="E50" s="19" t="s">
        <v>367</v>
      </c>
      <c r="F50" s="19" t="s">
        <v>224</v>
      </c>
      <c r="G50" s="19" t="str">
        <f aca="false">IFERROR(INDEX('Plan de comptes'!$B$5:$B$41,MATCH(F50,'Plan de comptes'!$A$5:$A$41,0)),"COMPTE INCONNU")</f>
        <v>Organisateur — taxe collectée (à reverser à l'État)</v>
      </c>
      <c r="H50" s="20"/>
      <c r="I50" s="20" t="n">
        <f aca="false">ROUND(H48*Paramètres!$C$21/(1+Paramètres!$C$21),0)</f>
        <v>165</v>
      </c>
      <c r="J50" s="19" t="str">
        <f aca="false">IFERROR(INDEX('Plan de comptes'!$D$5:$D$41,MATCH(F50,'Plan de comptes'!$A$5:$A$41,0)),"?")</f>
        <v>ORG</v>
      </c>
      <c r="K50" s="20" t="n">
        <f aca="false">SUMIFS($H$5:$H$500,$A$5:$A$500,A50)-SUMIFS($I$5:$I$500,$A$5:$A$500,A50)</f>
        <v>0</v>
      </c>
      <c r="L50" s="19" t="s">
        <v>333</v>
      </c>
      <c r="M50" s="19" t="s">
        <v>378</v>
      </c>
      <c r="N50" s="20" t="n">
        <f aca="false">SUMIFS($H$5:H50,$F$5:F50,F50)-SUMIFS($I$5:I50,$F$5:F50,F50)</f>
        <v>-1221</v>
      </c>
    </row>
    <row r="51" customFormat="false" ht="15" hidden="false" customHeight="false" outlineLevel="0" collapsed="false">
      <c r="A51" s="13" t="n">
        <v>14</v>
      </c>
      <c r="B51" s="14" t="n">
        <v>46367.9270833333</v>
      </c>
      <c r="C51" s="7" t="s">
        <v>360</v>
      </c>
      <c r="D51" s="7" t="s">
        <v>360</v>
      </c>
      <c r="E51" s="7" t="s">
        <v>380</v>
      </c>
      <c r="F51" s="7" t="s">
        <v>145</v>
      </c>
      <c r="G51" s="7" t="str">
        <f aca="false">IFERROR(INDEX('Plan de comptes'!$B$5:$B$41,MATCH(F51,'Plan de comptes'!$A$5:$A$41,0)),"COMPTE INCONNU")</f>
        <v>Portefeuille W03 Fatou — crédits payés</v>
      </c>
      <c r="H51" s="15" t="n">
        <v>7500</v>
      </c>
      <c r="I51" s="16"/>
      <c r="J51" s="7" t="str">
        <f aca="false">IFERROR(INDEX('Plan de comptes'!$D$5:$D$41,MATCH(F51,'Plan de comptes'!$A$5:$A$41,0)),"?")</f>
        <v>W03</v>
      </c>
      <c r="K51" s="16" t="n">
        <f aca="false">SUMIFS($H$5:$H$500,$A$5:$A$500,A51)-SUMIFS($I$5:$I$500,$A$5:$A$500,A51)</f>
        <v>0</v>
      </c>
      <c r="L51" s="7" t="s">
        <v>333</v>
      </c>
      <c r="M51" s="7" t="s">
        <v>381</v>
      </c>
      <c r="N51" s="16" t="n">
        <f aca="false">SUMIFS($H$5:H51,$F$5:F51,F51)-SUMIFS($I$5:I51,$F$5:F51,F51)</f>
        <v>-12500</v>
      </c>
    </row>
    <row r="52" customFormat="false" ht="15" hidden="false" customHeight="false" outlineLevel="0" collapsed="false">
      <c r="A52" s="17" t="n">
        <v>14</v>
      </c>
      <c r="B52" s="18" t="n">
        <v>46367.9270833333</v>
      </c>
      <c r="C52" s="19" t="s">
        <v>360</v>
      </c>
      <c r="D52" s="19" t="s">
        <v>360</v>
      </c>
      <c r="E52" s="19" t="s">
        <v>382</v>
      </c>
      <c r="F52" s="19" t="s">
        <v>204</v>
      </c>
      <c r="G52" s="19" t="str">
        <f aca="false">IFERROR(INDEX('Plan de comptes'!$B$5:$B$41,MATCH(F52,'Plan de comptes'!$A$5:$A$41,0)),"COMPTE INCONNU")</f>
        <v>Commerçant interne — Bar de l'organisateur</v>
      </c>
      <c r="H52" s="20"/>
      <c r="I52" s="20" t="n">
        <f aca="false">H51</f>
        <v>7500</v>
      </c>
      <c r="J52" s="19" t="str">
        <f aca="false">IFERROR(INDEX('Plan de comptes'!$D$5:$D$41,MATCH(F52,'Plan de comptes'!$A$5:$A$41,0)),"?")</f>
        <v>BAR</v>
      </c>
      <c r="K52" s="20" t="n">
        <f aca="false">SUMIFS($H$5:$H$500,$A$5:$A$500,A52)-SUMIFS($I$5:$I$500,$A$5:$A$500,A52)</f>
        <v>0</v>
      </c>
      <c r="L52" s="19" t="s">
        <v>333</v>
      </c>
      <c r="M52" s="19" t="s">
        <v>381</v>
      </c>
      <c r="N52" s="20" t="n">
        <f aca="false">SUMIFS($H$5:H52,$F$5:F52,F52)-SUMIFS($I$5:I52,$F$5:F52,F52)</f>
        <v>-11500</v>
      </c>
    </row>
    <row r="53" customFormat="false" ht="15" hidden="false" customHeight="false" outlineLevel="0" collapsed="false">
      <c r="A53" s="13" t="n">
        <v>15</v>
      </c>
      <c r="B53" s="14" t="n">
        <v>46368.7916666667</v>
      </c>
      <c r="C53" s="7" t="s">
        <v>360</v>
      </c>
      <c r="D53" s="7" t="s">
        <v>360</v>
      </c>
      <c r="E53" s="7" t="s">
        <v>383</v>
      </c>
      <c r="F53" s="7" t="s">
        <v>149</v>
      </c>
      <c r="G53" s="7" t="str">
        <f aca="false">IFERROR(INDEX('Plan de comptes'!$B$5:$B$41,MATCH(F53,'Plan de comptes'!$A$5:$A$41,0)),"COMPTE INCONNU")</f>
        <v>Portefeuille W04 Jean — crédits payés</v>
      </c>
      <c r="H53" s="15" t="n">
        <v>6000</v>
      </c>
      <c r="I53" s="16"/>
      <c r="J53" s="7" t="str">
        <f aca="false">IFERROR(INDEX('Plan de comptes'!$D$5:$D$41,MATCH(F53,'Plan de comptes'!$A$5:$A$41,0)),"?")</f>
        <v>W04</v>
      </c>
      <c r="K53" s="16" t="n">
        <f aca="false">SUMIFS($H$5:$H$500,$A$5:$A$500,A53)-SUMIFS($I$5:$I$500,$A$5:$A$500,A53)</f>
        <v>0</v>
      </c>
      <c r="L53" s="7" t="s">
        <v>333</v>
      </c>
      <c r="M53" s="7" t="s">
        <v>384</v>
      </c>
      <c r="N53" s="16" t="n">
        <f aca="false">SUMIFS($H$5:H53,$F$5:F53,F53)-SUMIFS($I$5:I53,$F$5:F53,F53)</f>
        <v>-3000</v>
      </c>
    </row>
    <row r="54" customFormat="false" ht="15" hidden="false" customHeight="false" outlineLevel="0" collapsed="false">
      <c r="A54" s="17" t="n">
        <v>15</v>
      </c>
      <c r="B54" s="18" t="n">
        <v>46368.7916666667</v>
      </c>
      <c r="C54" s="19" t="s">
        <v>360</v>
      </c>
      <c r="D54" s="19" t="s">
        <v>360</v>
      </c>
      <c r="E54" s="19" t="s">
        <v>385</v>
      </c>
      <c r="F54" s="19" t="s">
        <v>204</v>
      </c>
      <c r="G54" s="19" t="str">
        <f aca="false">IFERROR(INDEX('Plan de comptes'!$B$5:$B$41,MATCH(F54,'Plan de comptes'!$A$5:$A$41,0)),"COMPTE INCONNU")</f>
        <v>Commerçant interne — Bar de l'organisateur</v>
      </c>
      <c r="H54" s="20"/>
      <c r="I54" s="20" t="n">
        <f aca="false">H53</f>
        <v>6000</v>
      </c>
      <c r="J54" s="19" t="str">
        <f aca="false">IFERROR(INDEX('Plan de comptes'!$D$5:$D$41,MATCH(F54,'Plan de comptes'!$A$5:$A$41,0)),"?")</f>
        <v>BAR</v>
      </c>
      <c r="K54" s="20" t="n">
        <f aca="false">SUMIFS($H$5:$H$500,$A$5:$A$500,A54)-SUMIFS($I$5:$I$500,$A$5:$A$500,A54)</f>
        <v>0</v>
      </c>
      <c r="L54" s="19" t="s">
        <v>333</v>
      </c>
      <c r="M54" s="19" t="s">
        <v>384</v>
      </c>
      <c r="N54" s="20" t="n">
        <f aca="false">SUMIFS($H$5:H54,$F$5:F54,F54)-SUMIFS($I$5:I54,$F$5:F54,F54)</f>
        <v>-17500</v>
      </c>
    </row>
    <row r="55" customFormat="false" ht="15" hidden="false" customHeight="false" outlineLevel="0" collapsed="false">
      <c r="A55" s="13" t="n">
        <v>16</v>
      </c>
      <c r="B55" s="14" t="n">
        <v>46368.79375</v>
      </c>
      <c r="C55" s="7" t="s">
        <v>386</v>
      </c>
      <c r="D55" s="7" t="s">
        <v>387</v>
      </c>
      <c r="E55" s="7" t="s">
        <v>388</v>
      </c>
      <c r="F55" s="7" t="s">
        <v>204</v>
      </c>
      <c r="G55" s="7" t="str">
        <f aca="false">IFERROR(INDEX('Plan de comptes'!$B$5:$B$41,MATCH(F55,'Plan de comptes'!$A$5:$A$41,0)),"COMPTE INCONNU")</f>
        <v>Commerçant interne — Bar de l'organisateur</v>
      </c>
      <c r="H55" s="16" t="n">
        <f aca="false">I54</f>
        <v>6000</v>
      </c>
      <c r="I55" s="16"/>
      <c r="J55" s="7" t="str">
        <f aca="false">IFERROR(INDEX('Plan de comptes'!$D$5:$D$41,MATCH(F55,'Plan de comptes'!$A$5:$A$41,0)),"?")</f>
        <v>BAR</v>
      </c>
      <c r="K55" s="16" t="n">
        <f aca="false">SUMIFS($H$5:$H$500,$A$5:$A$500,A55)-SUMIFS($I$5:$I$500,$A$5:$A$500,A55)</f>
        <v>0</v>
      </c>
      <c r="L55" s="7" t="s">
        <v>333</v>
      </c>
      <c r="M55" s="7" t="s">
        <v>389</v>
      </c>
      <c r="N55" s="16" t="n">
        <f aca="false">SUMIFS($H$5:H55,$F$5:F55,F55)-SUMIFS($I$5:I55,$F$5:F55,F55)</f>
        <v>-11500</v>
      </c>
    </row>
    <row r="56" customFormat="false" ht="15" hidden="false" customHeight="false" outlineLevel="0" collapsed="false">
      <c r="A56" s="17" t="n">
        <v>16</v>
      </c>
      <c r="B56" s="18" t="n">
        <v>46368.79375</v>
      </c>
      <c r="C56" s="19" t="s">
        <v>386</v>
      </c>
      <c r="D56" s="19" t="s">
        <v>387</v>
      </c>
      <c r="E56" s="19" t="s">
        <v>388</v>
      </c>
      <c r="F56" s="19" t="s">
        <v>149</v>
      </c>
      <c r="G56" s="19" t="str">
        <f aca="false">IFERROR(INDEX('Plan de comptes'!$B$5:$B$41,MATCH(F56,'Plan de comptes'!$A$5:$A$41,0)),"COMPTE INCONNU")</f>
        <v>Portefeuille W04 Jean — crédits payés</v>
      </c>
      <c r="H56" s="20"/>
      <c r="I56" s="20" t="n">
        <f aca="false">H53</f>
        <v>6000</v>
      </c>
      <c r="J56" s="19" t="str">
        <f aca="false">IFERROR(INDEX('Plan de comptes'!$D$5:$D$41,MATCH(F56,'Plan de comptes'!$A$5:$A$41,0)),"?")</f>
        <v>W04</v>
      </c>
      <c r="K56" s="20" t="n">
        <f aca="false">SUMIFS($H$5:$H$500,$A$5:$A$500,A56)-SUMIFS($I$5:$I$500,$A$5:$A$500,A56)</f>
        <v>0</v>
      </c>
      <c r="L56" s="19" t="s">
        <v>333</v>
      </c>
      <c r="M56" s="19" t="s">
        <v>389</v>
      </c>
      <c r="N56" s="20" t="n">
        <f aca="false">SUMIFS($H$5:H56,$F$5:F56,F56)-SUMIFS($I$5:I56,$F$5:F56,F56)</f>
        <v>-9000</v>
      </c>
    </row>
    <row r="57" customFormat="false" ht="15" hidden="false" customHeight="false" outlineLevel="0" collapsed="false">
      <c r="A57" s="13" t="n">
        <v>17</v>
      </c>
      <c r="B57" s="14" t="n">
        <v>46368.7944444444</v>
      </c>
      <c r="C57" s="7" t="s">
        <v>360</v>
      </c>
      <c r="D57" s="7" t="s">
        <v>360</v>
      </c>
      <c r="E57" s="7" t="s">
        <v>390</v>
      </c>
      <c r="F57" s="7" t="s">
        <v>149</v>
      </c>
      <c r="G57" s="7" t="str">
        <f aca="false">IFERROR(INDEX('Plan de comptes'!$B$5:$B$41,MATCH(F57,'Plan de comptes'!$A$5:$A$41,0)),"COMPTE INCONNU")</f>
        <v>Portefeuille W04 Jean — crédits payés</v>
      </c>
      <c r="H57" s="15" t="n">
        <v>3000</v>
      </c>
      <c r="I57" s="16"/>
      <c r="J57" s="7" t="str">
        <f aca="false">IFERROR(INDEX('Plan de comptes'!$D$5:$D$41,MATCH(F57,'Plan de comptes'!$A$5:$A$41,0)),"?")</f>
        <v>W04</v>
      </c>
      <c r="K57" s="16" t="n">
        <f aca="false">SUMIFS($H$5:$H$500,$A$5:$A$500,A57)-SUMIFS($I$5:$I$500,$A$5:$A$500,A57)</f>
        <v>0</v>
      </c>
      <c r="L57" s="7" t="s">
        <v>333</v>
      </c>
      <c r="M57" s="7" t="s">
        <v>391</v>
      </c>
      <c r="N57" s="16" t="n">
        <f aca="false">SUMIFS($H$5:H57,$F$5:F57,F57)-SUMIFS($I$5:I57,$F$5:F57,F57)</f>
        <v>-6000</v>
      </c>
    </row>
    <row r="58" customFormat="false" ht="15" hidden="false" customHeight="false" outlineLevel="0" collapsed="false">
      <c r="A58" s="17" t="n">
        <v>17</v>
      </c>
      <c r="B58" s="18" t="n">
        <v>46368.7944444444</v>
      </c>
      <c r="C58" s="19" t="s">
        <v>360</v>
      </c>
      <c r="D58" s="19" t="s">
        <v>360</v>
      </c>
      <c r="E58" s="19" t="s">
        <v>392</v>
      </c>
      <c r="F58" s="19" t="s">
        <v>204</v>
      </c>
      <c r="G58" s="19" t="str">
        <f aca="false">IFERROR(INDEX('Plan de comptes'!$B$5:$B$41,MATCH(F58,'Plan de comptes'!$A$5:$A$41,0)),"COMPTE INCONNU")</f>
        <v>Commerçant interne — Bar de l'organisateur</v>
      </c>
      <c r="H58" s="20"/>
      <c r="I58" s="20" t="n">
        <f aca="false">H57</f>
        <v>3000</v>
      </c>
      <c r="J58" s="19" t="str">
        <f aca="false">IFERROR(INDEX('Plan de comptes'!$D$5:$D$41,MATCH(F58,'Plan de comptes'!$A$5:$A$41,0)),"?")</f>
        <v>BAR</v>
      </c>
      <c r="K58" s="20" t="n">
        <f aca="false">SUMIFS($H$5:$H$500,$A$5:$A$500,A58)-SUMIFS($I$5:$I$500,$A$5:$A$500,A58)</f>
        <v>0</v>
      </c>
      <c r="L58" s="19" t="s">
        <v>333</v>
      </c>
      <c r="M58" s="19" t="s">
        <v>391</v>
      </c>
      <c r="N58" s="20" t="n">
        <f aca="false">SUMIFS($H$5:H58,$F$5:F58,F58)-SUMIFS($I$5:I58,$F$5:F58,F58)</f>
        <v>-14500</v>
      </c>
    </row>
    <row r="59" customFormat="false" ht="15" hidden="false" customHeight="false" outlineLevel="0" collapsed="false">
      <c r="A59" s="13" t="n">
        <v>18</v>
      </c>
      <c r="B59" s="14" t="n">
        <v>46368.8472222222</v>
      </c>
      <c r="C59" s="7" t="s">
        <v>360</v>
      </c>
      <c r="D59" s="7" t="s">
        <v>360</v>
      </c>
      <c r="E59" s="7" t="s">
        <v>393</v>
      </c>
      <c r="F59" s="7" t="s">
        <v>153</v>
      </c>
      <c r="G59" s="7" t="str">
        <f aca="false">IFERROR(INDEX('Plan de comptes'!$B$5:$B$41,MATCH(F59,'Plan de comptes'!$A$5:$A$41,0)),"COMPTE INCONNU")</f>
        <v>Portefeuille W05 Aminata — crédits payés</v>
      </c>
      <c r="H59" s="15" t="n">
        <v>8000</v>
      </c>
      <c r="I59" s="16"/>
      <c r="J59" s="7" t="str">
        <f aca="false">IFERROR(INDEX('Plan de comptes'!$D$5:$D$41,MATCH(F59,'Plan de comptes'!$A$5:$A$41,0)),"?")</f>
        <v>W05</v>
      </c>
      <c r="K59" s="16" t="n">
        <f aca="false">SUMIFS($H$5:$H$500,$A$5:$A$500,A59)-SUMIFS($I$5:$I$500,$A$5:$A$500,A59)</f>
        <v>0</v>
      </c>
      <c r="L59" s="7" t="s">
        <v>333</v>
      </c>
      <c r="M59" s="7" t="s">
        <v>394</v>
      </c>
      <c r="N59" s="16" t="n">
        <f aca="false">SUMIFS($H$5:H59,$F$5:F59,F59)-SUMIFS($I$5:I59,$F$5:F59,F59)</f>
        <v>-14000</v>
      </c>
    </row>
    <row r="60" customFormat="false" ht="15" hidden="false" customHeight="false" outlineLevel="0" collapsed="false">
      <c r="A60" s="13" t="n">
        <v>18</v>
      </c>
      <c r="B60" s="14" t="n">
        <v>46368.8472222222</v>
      </c>
      <c r="C60" s="7" t="s">
        <v>360</v>
      </c>
      <c r="D60" s="7" t="s">
        <v>360</v>
      </c>
      <c r="E60" s="7" t="s">
        <v>395</v>
      </c>
      <c r="F60" s="7" t="s">
        <v>212</v>
      </c>
      <c r="G60" s="7" t="str">
        <f aca="false">IFERROR(INDEX('Plan de comptes'!$B$5:$B$41,MATCH(F60,'Plan de comptes'!$A$5:$A$41,0)),"COMPTE INCONNU")</f>
        <v>Commerçant externe — Tee-shirts</v>
      </c>
      <c r="H60" s="16"/>
      <c r="I60" s="16" t="n">
        <f aca="false">H59</f>
        <v>8000</v>
      </c>
      <c r="J60" s="7" t="str">
        <f aca="false">IFERROR(INDEX('Plan de comptes'!$D$5:$D$41,MATCH(F60,'Plan de comptes'!$A$5:$A$41,0)),"?")</f>
        <v>TEE</v>
      </c>
      <c r="K60" s="16" t="n">
        <f aca="false">SUMIFS($H$5:$H$500,$A$5:$A$500,A60)-SUMIFS($I$5:$I$500,$A$5:$A$500,A60)</f>
        <v>0</v>
      </c>
      <c r="L60" s="7" t="s">
        <v>333</v>
      </c>
      <c r="M60" s="7" t="s">
        <v>394</v>
      </c>
      <c r="N60" s="16" t="n">
        <f aca="false">SUMIFS($H$5:H60,$F$5:F60,F60)-SUMIFS($I$5:I60,$F$5:F60,F60)</f>
        <v>-18800</v>
      </c>
    </row>
    <row r="61" customFormat="false" ht="15" hidden="false" customHeight="false" outlineLevel="0" collapsed="false">
      <c r="A61" s="13" t="n">
        <v>18</v>
      </c>
      <c r="B61" s="14" t="n">
        <v>46368.8472222222</v>
      </c>
      <c r="C61" s="7" t="s">
        <v>360</v>
      </c>
      <c r="D61" s="7" t="s">
        <v>364</v>
      </c>
      <c r="E61" s="7" t="s">
        <v>374</v>
      </c>
      <c r="F61" s="7" t="s">
        <v>212</v>
      </c>
      <c r="G61" s="7" t="str">
        <f aca="false">IFERROR(INDEX('Plan de comptes'!$B$5:$B$41,MATCH(F61,'Plan de comptes'!$A$5:$A$41,0)),"COMPTE INCONNU")</f>
        <v>Commerçant externe — Tee-shirts</v>
      </c>
      <c r="H61" s="16" t="n">
        <f aca="false">ROUND(I60*Paramètres!$C$13,0)</f>
        <v>800</v>
      </c>
      <c r="I61" s="16"/>
      <c r="J61" s="7" t="str">
        <f aca="false">IFERROR(INDEX('Plan de comptes'!$D$5:$D$41,MATCH(F61,'Plan de comptes'!$A$5:$A$41,0)),"?")</f>
        <v>TEE</v>
      </c>
      <c r="K61" s="16" t="n">
        <f aca="false">SUMIFS($H$5:$H$500,$A$5:$A$500,A61)-SUMIFS($I$5:$I$500,$A$5:$A$500,A61)</f>
        <v>0</v>
      </c>
      <c r="L61" s="7" t="s">
        <v>333</v>
      </c>
      <c r="M61" s="7" t="s">
        <v>394</v>
      </c>
      <c r="N61" s="16" t="n">
        <f aca="false">SUMIFS($H$5:H61,$F$5:F61,F61)-SUMIFS($I$5:I61,$F$5:F61,F61)</f>
        <v>-18000</v>
      </c>
    </row>
    <row r="62" customFormat="false" ht="15" hidden="false" customHeight="false" outlineLevel="0" collapsed="false">
      <c r="A62" s="13" t="n">
        <v>18</v>
      </c>
      <c r="B62" s="14" t="n">
        <v>46368.8472222222</v>
      </c>
      <c r="C62" s="7" t="s">
        <v>360</v>
      </c>
      <c r="D62" s="7" t="s">
        <v>364</v>
      </c>
      <c r="E62" s="7" t="s">
        <v>375</v>
      </c>
      <c r="F62" s="7" t="s">
        <v>214</v>
      </c>
      <c r="G62" s="7" t="str">
        <f aca="false">IFERROR(INDEX('Plan de comptes'!$B$5:$B$41,MATCH(F62,'Plan de comptes'!$A$5:$A$41,0)),"COMPTE INCONNU")</f>
        <v>Organisateur — commissions</v>
      </c>
      <c r="H62" s="16"/>
      <c r="I62" s="16" t="n">
        <f aca="false">H61-ROUND(H61*Paramètres!$C$21/(1+Paramètres!$C$21),0)</f>
        <v>678</v>
      </c>
      <c r="J62" s="7" t="str">
        <f aca="false">IFERROR(INDEX('Plan de comptes'!$D$5:$D$41,MATCH(F62,'Plan de comptes'!$A$5:$A$41,0)),"?")</f>
        <v>ORG</v>
      </c>
      <c r="K62" s="16" t="n">
        <f aca="false">SUMIFS($H$5:$H$500,$A$5:$A$500,A62)-SUMIFS($I$5:$I$500,$A$5:$A$500,A62)</f>
        <v>0</v>
      </c>
      <c r="L62" s="7" t="s">
        <v>333</v>
      </c>
      <c r="M62" s="7" t="s">
        <v>394</v>
      </c>
      <c r="N62" s="16" t="n">
        <f aca="false">SUMIFS($H$5:H62,$F$5:F62,F62)-SUMIFS($I$5:I62,$F$5:F62,F62)</f>
        <v>-3220</v>
      </c>
    </row>
    <row r="63" customFormat="false" ht="15" hidden="false" customHeight="false" outlineLevel="0" collapsed="false">
      <c r="A63" s="17" t="n">
        <v>18</v>
      </c>
      <c r="B63" s="18" t="n">
        <v>46368.8472222222</v>
      </c>
      <c r="C63" s="19" t="s">
        <v>360</v>
      </c>
      <c r="D63" s="19" t="s">
        <v>364</v>
      </c>
      <c r="E63" s="19" t="s">
        <v>376</v>
      </c>
      <c r="F63" s="19" t="s">
        <v>224</v>
      </c>
      <c r="G63" s="19" t="str">
        <f aca="false">IFERROR(INDEX('Plan de comptes'!$B$5:$B$41,MATCH(F63,'Plan de comptes'!$A$5:$A$41,0)),"COMPTE INCONNU")</f>
        <v>Organisateur — taxe collectée (à reverser à l'État)</v>
      </c>
      <c r="H63" s="20"/>
      <c r="I63" s="20" t="n">
        <f aca="false">ROUND(H61*Paramètres!$C$21/(1+Paramètres!$C$21),0)</f>
        <v>122</v>
      </c>
      <c r="J63" s="19" t="str">
        <f aca="false">IFERROR(INDEX('Plan de comptes'!$D$5:$D$41,MATCH(F63,'Plan de comptes'!$A$5:$A$41,0)),"?")</f>
        <v>ORG</v>
      </c>
      <c r="K63" s="20" t="n">
        <f aca="false">SUMIFS($H$5:$H$500,$A$5:$A$500,A63)-SUMIFS($I$5:$I$500,$A$5:$A$500,A63)</f>
        <v>0</v>
      </c>
      <c r="L63" s="19" t="s">
        <v>333</v>
      </c>
      <c r="M63" s="19" t="s">
        <v>394</v>
      </c>
      <c r="N63" s="20" t="n">
        <f aca="false">SUMIFS($H$5:H63,$F$5:F63,F63)-SUMIFS($I$5:I63,$F$5:F63,F63)</f>
        <v>-1343</v>
      </c>
    </row>
    <row r="64" customFormat="false" ht="15" hidden="false" customHeight="false" outlineLevel="0" collapsed="false">
      <c r="A64" s="13" t="n">
        <v>19</v>
      </c>
      <c r="B64" s="14" t="n">
        <v>46368.90625</v>
      </c>
      <c r="C64" s="7" t="s">
        <v>360</v>
      </c>
      <c r="D64" s="7" t="s">
        <v>360</v>
      </c>
      <c r="E64" s="7" t="s">
        <v>396</v>
      </c>
      <c r="F64" s="7" t="s">
        <v>153</v>
      </c>
      <c r="G64" s="7" t="str">
        <f aca="false">IFERROR(INDEX('Plan de comptes'!$B$5:$B$41,MATCH(F64,'Plan de comptes'!$A$5:$A$41,0)),"COMPTE INCONNU")</f>
        <v>Portefeuille W05 Aminata — crédits payés</v>
      </c>
      <c r="H64" s="15" t="n">
        <v>5000</v>
      </c>
      <c r="I64" s="16"/>
      <c r="J64" s="7" t="str">
        <f aca="false">IFERROR(INDEX('Plan de comptes'!$D$5:$D$41,MATCH(F64,'Plan de comptes'!$A$5:$A$41,0)),"?")</f>
        <v>W05</v>
      </c>
      <c r="K64" s="16" t="n">
        <f aca="false">SUMIFS($H$5:$H$500,$A$5:$A$500,A64)-SUMIFS($I$5:$I$500,$A$5:$A$500,A64)</f>
        <v>0</v>
      </c>
      <c r="L64" s="7" t="s">
        <v>333</v>
      </c>
      <c r="M64" s="7" t="s">
        <v>397</v>
      </c>
      <c r="N64" s="16" t="n">
        <f aca="false">SUMIFS($H$5:H64,$F$5:F64,F64)-SUMIFS($I$5:I64,$F$5:F64,F64)</f>
        <v>-9000</v>
      </c>
    </row>
    <row r="65" customFormat="false" ht="15" hidden="false" customHeight="false" outlineLevel="0" collapsed="false">
      <c r="A65" s="13" t="n">
        <v>19</v>
      </c>
      <c r="B65" s="14" t="n">
        <v>46368.90625</v>
      </c>
      <c r="C65" s="7" t="s">
        <v>360</v>
      </c>
      <c r="D65" s="7" t="s">
        <v>360</v>
      </c>
      <c r="E65" s="7" t="s">
        <v>398</v>
      </c>
      <c r="F65" s="7" t="s">
        <v>209</v>
      </c>
      <c r="G65" s="7" t="str">
        <f aca="false">IFERROR(INDEX('Plan de comptes'!$B$5:$B$41,MATCH(F65,'Plan de comptes'!$A$5:$A$41,0)),"COMPTE INCONNU")</f>
        <v>Commerçant externe — Food truck</v>
      </c>
      <c r="H65" s="16"/>
      <c r="I65" s="16" t="n">
        <f aca="false">H64</f>
        <v>5000</v>
      </c>
      <c r="J65" s="7" t="str">
        <f aca="false">IFERROR(INDEX('Plan de comptes'!$D$5:$D$41,MATCH(F65,'Plan de comptes'!$A$5:$A$41,0)),"?")</f>
        <v>FOOD</v>
      </c>
      <c r="K65" s="16" t="n">
        <f aca="false">SUMIFS($H$5:$H$500,$A$5:$A$500,A65)-SUMIFS($I$5:$I$500,$A$5:$A$500,A65)</f>
        <v>0</v>
      </c>
      <c r="L65" s="7" t="s">
        <v>333</v>
      </c>
      <c r="M65" s="7" t="s">
        <v>397</v>
      </c>
      <c r="N65" s="16" t="n">
        <f aca="false">SUMIFS($H$5:H65,$F$5:F65,F65)-SUMIFS($I$5:I65,$F$5:F65,F65)</f>
        <v>-18200</v>
      </c>
    </row>
    <row r="66" customFormat="false" ht="15" hidden="false" customHeight="false" outlineLevel="0" collapsed="false">
      <c r="A66" s="13" t="n">
        <v>19</v>
      </c>
      <c r="B66" s="14" t="n">
        <v>46368.90625</v>
      </c>
      <c r="C66" s="7" t="s">
        <v>360</v>
      </c>
      <c r="D66" s="7" t="s">
        <v>364</v>
      </c>
      <c r="E66" s="7" t="s">
        <v>365</v>
      </c>
      <c r="F66" s="7" t="s">
        <v>209</v>
      </c>
      <c r="G66" s="7" t="str">
        <f aca="false">IFERROR(INDEX('Plan de comptes'!$B$5:$B$41,MATCH(F66,'Plan de comptes'!$A$5:$A$41,0)),"COMPTE INCONNU")</f>
        <v>Commerçant externe — Food truck</v>
      </c>
      <c r="H66" s="16" t="n">
        <f aca="false">ROUND(I65*Paramètres!$C$12,0)</f>
        <v>600</v>
      </c>
      <c r="I66" s="16"/>
      <c r="J66" s="7" t="str">
        <f aca="false">IFERROR(INDEX('Plan de comptes'!$D$5:$D$41,MATCH(F66,'Plan de comptes'!$A$5:$A$41,0)),"?")</f>
        <v>FOOD</v>
      </c>
      <c r="K66" s="16" t="n">
        <f aca="false">SUMIFS($H$5:$H$500,$A$5:$A$500,A66)-SUMIFS($I$5:$I$500,$A$5:$A$500,A66)</f>
        <v>0</v>
      </c>
      <c r="L66" s="7" t="s">
        <v>333</v>
      </c>
      <c r="M66" s="7" t="s">
        <v>397</v>
      </c>
      <c r="N66" s="16" t="n">
        <f aca="false">SUMIFS($H$5:H66,$F$5:F66,F66)-SUMIFS($I$5:I66,$F$5:F66,F66)</f>
        <v>-17600</v>
      </c>
    </row>
    <row r="67" customFormat="false" ht="15" hidden="false" customHeight="false" outlineLevel="0" collapsed="false">
      <c r="A67" s="13" t="n">
        <v>19</v>
      </c>
      <c r="B67" s="14" t="n">
        <v>46368.90625</v>
      </c>
      <c r="C67" s="7" t="s">
        <v>360</v>
      </c>
      <c r="D67" s="7" t="s">
        <v>364</v>
      </c>
      <c r="E67" s="7" t="s">
        <v>366</v>
      </c>
      <c r="F67" s="7" t="s">
        <v>214</v>
      </c>
      <c r="G67" s="7" t="str">
        <f aca="false">IFERROR(INDEX('Plan de comptes'!$B$5:$B$41,MATCH(F67,'Plan de comptes'!$A$5:$A$41,0)),"COMPTE INCONNU")</f>
        <v>Organisateur — commissions</v>
      </c>
      <c r="H67" s="16"/>
      <c r="I67" s="16" t="n">
        <f aca="false">H66-ROUND(H66*Paramètres!$C$21/(1+Paramètres!$C$21),0)</f>
        <v>508</v>
      </c>
      <c r="J67" s="7" t="str">
        <f aca="false">IFERROR(INDEX('Plan de comptes'!$D$5:$D$41,MATCH(F67,'Plan de comptes'!$A$5:$A$41,0)),"?")</f>
        <v>ORG</v>
      </c>
      <c r="K67" s="16" t="n">
        <f aca="false">SUMIFS($H$5:$H$500,$A$5:$A$500,A67)-SUMIFS($I$5:$I$500,$A$5:$A$500,A67)</f>
        <v>0</v>
      </c>
      <c r="L67" s="7" t="s">
        <v>333</v>
      </c>
      <c r="M67" s="7" t="s">
        <v>397</v>
      </c>
      <c r="N67" s="16" t="n">
        <f aca="false">SUMIFS($H$5:H67,$F$5:F67,F67)-SUMIFS($I$5:I67,$F$5:F67,F67)</f>
        <v>-3728</v>
      </c>
    </row>
    <row r="68" customFormat="false" ht="15" hidden="false" customHeight="false" outlineLevel="0" collapsed="false">
      <c r="A68" s="17" t="n">
        <v>19</v>
      </c>
      <c r="B68" s="18" t="n">
        <v>46368.90625</v>
      </c>
      <c r="C68" s="19" t="s">
        <v>360</v>
      </c>
      <c r="D68" s="19" t="s">
        <v>364</v>
      </c>
      <c r="E68" s="19" t="s">
        <v>367</v>
      </c>
      <c r="F68" s="19" t="s">
        <v>224</v>
      </c>
      <c r="G68" s="19" t="str">
        <f aca="false">IFERROR(INDEX('Plan de comptes'!$B$5:$B$41,MATCH(F68,'Plan de comptes'!$A$5:$A$41,0)),"COMPTE INCONNU")</f>
        <v>Organisateur — taxe collectée (à reverser à l'État)</v>
      </c>
      <c r="H68" s="20"/>
      <c r="I68" s="20" t="n">
        <f aca="false">ROUND(H66*Paramètres!$C$21/(1+Paramètres!$C$21),0)</f>
        <v>92</v>
      </c>
      <c r="J68" s="19" t="str">
        <f aca="false">IFERROR(INDEX('Plan de comptes'!$D$5:$D$41,MATCH(F68,'Plan de comptes'!$A$5:$A$41,0)),"?")</f>
        <v>ORG</v>
      </c>
      <c r="K68" s="20" t="n">
        <f aca="false">SUMIFS($H$5:$H$500,$A$5:$A$500,A68)-SUMIFS($I$5:$I$500,$A$5:$A$500,A68)</f>
        <v>0</v>
      </c>
      <c r="L68" s="19" t="s">
        <v>333</v>
      </c>
      <c r="M68" s="19" t="s">
        <v>397</v>
      </c>
      <c r="N68" s="20" t="n">
        <f aca="false">SUMIFS($H$5:H68,$F$5:F68,F68)-SUMIFS($I$5:I68,$F$5:F68,F68)</f>
        <v>-1435</v>
      </c>
    </row>
    <row r="69" customFormat="false" ht="15" hidden="false" customHeight="false" outlineLevel="0" collapsed="false">
      <c r="A69" s="13" t="n">
        <v>20</v>
      </c>
      <c r="B69" s="14" t="n">
        <v>46368.9166666667</v>
      </c>
      <c r="C69" s="7" t="s">
        <v>360</v>
      </c>
      <c r="D69" s="7" t="s">
        <v>360</v>
      </c>
      <c r="E69" s="7" t="s">
        <v>399</v>
      </c>
      <c r="F69" s="7" t="s">
        <v>157</v>
      </c>
      <c r="G69" s="7" t="str">
        <f aca="false">IFERROR(INDEX('Plan de comptes'!$B$5:$B$41,MATCH(F69,'Plan de comptes'!$A$5:$A$41,0)),"COMPTE INCONNU")</f>
        <v>Portefeuille W06 Ibou — crédits offerts</v>
      </c>
      <c r="H69" s="15" t="n">
        <v>4000</v>
      </c>
      <c r="I69" s="16"/>
      <c r="J69" s="7" t="str">
        <f aca="false">IFERROR(INDEX('Plan de comptes'!$D$5:$D$41,MATCH(F69,'Plan de comptes'!$A$5:$A$41,0)),"?")</f>
        <v>W06</v>
      </c>
      <c r="K69" s="16" t="n">
        <f aca="false">SUMIFS($H$5:$H$500,$A$5:$A$500,A69)-SUMIFS($I$5:$I$500,$A$5:$A$500,A69)</f>
        <v>0</v>
      </c>
      <c r="L69" s="7" t="s">
        <v>333</v>
      </c>
      <c r="M69" s="7" t="s">
        <v>400</v>
      </c>
      <c r="N69" s="16" t="n">
        <f aca="false">SUMIFS($H$5:H69,$F$5:F69,F69)-SUMIFS($I$5:I69,$F$5:F69,F69)</f>
        <v>-2000</v>
      </c>
    </row>
    <row r="70" customFormat="false" ht="15" hidden="false" customHeight="false" outlineLevel="0" collapsed="false">
      <c r="A70" s="17" t="n">
        <v>20</v>
      </c>
      <c r="B70" s="18" t="n">
        <v>46368.9166666667</v>
      </c>
      <c r="C70" s="19" t="s">
        <v>360</v>
      </c>
      <c r="D70" s="19" t="s">
        <v>360</v>
      </c>
      <c r="E70" s="19" t="s">
        <v>401</v>
      </c>
      <c r="F70" s="19" t="s">
        <v>204</v>
      </c>
      <c r="G70" s="19" t="str">
        <f aca="false">IFERROR(INDEX('Plan de comptes'!$B$5:$B$41,MATCH(F70,'Plan de comptes'!$A$5:$A$41,0)),"COMPTE INCONNU")</f>
        <v>Commerçant interne — Bar de l'organisateur</v>
      </c>
      <c r="H70" s="20"/>
      <c r="I70" s="20" t="n">
        <f aca="false">H69</f>
        <v>4000</v>
      </c>
      <c r="J70" s="19" t="str">
        <f aca="false">IFERROR(INDEX('Plan de comptes'!$D$5:$D$41,MATCH(F70,'Plan de comptes'!$A$5:$A$41,0)),"?")</f>
        <v>BAR</v>
      </c>
      <c r="K70" s="20" t="n">
        <f aca="false">SUMIFS($H$5:$H$500,$A$5:$A$500,A70)-SUMIFS($I$5:$I$500,$A$5:$A$500,A70)</f>
        <v>0</v>
      </c>
      <c r="L70" s="19" t="s">
        <v>333</v>
      </c>
      <c r="M70" s="19" t="s">
        <v>400</v>
      </c>
      <c r="N70" s="20" t="n">
        <f aca="false">SUMIFS($H$5:H70,$F$5:F70,F70)-SUMIFS($I$5:I70,$F$5:F70,F70)</f>
        <v>-18500</v>
      </c>
    </row>
    <row r="71" customFormat="false" ht="15" hidden="false" customHeight="false" outlineLevel="0" collapsed="false">
      <c r="A71" s="13" t="n">
        <v>21</v>
      </c>
      <c r="B71" s="14" t="n">
        <v>46369.5416666667</v>
      </c>
      <c r="C71" s="7" t="s">
        <v>360</v>
      </c>
      <c r="D71" s="7" t="s">
        <v>360</v>
      </c>
      <c r="E71" s="7" t="s">
        <v>402</v>
      </c>
      <c r="F71" s="7" t="s">
        <v>157</v>
      </c>
      <c r="G71" s="7" t="str">
        <f aca="false">IFERROR(INDEX('Plan de comptes'!$B$5:$B$41,MATCH(F71,'Plan de comptes'!$A$5:$A$41,0)),"COMPTE INCONNU")</f>
        <v>Portefeuille W06 Ibou — crédits offerts</v>
      </c>
      <c r="H71" s="15" t="n">
        <v>1000</v>
      </c>
      <c r="I71" s="16"/>
      <c r="J71" s="7" t="str">
        <f aca="false">IFERROR(INDEX('Plan de comptes'!$D$5:$D$41,MATCH(F71,'Plan de comptes'!$A$5:$A$41,0)),"?")</f>
        <v>W06</v>
      </c>
      <c r="K71" s="16" t="n">
        <f aca="false">SUMIFS($H$5:$H$500,$A$5:$A$500,A71)-SUMIFS($I$5:$I$500,$A$5:$A$500,A71)</f>
        <v>0</v>
      </c>
      <c r="L71" s="7" t="s">
        <v>333</v>
      </c>
      <c r="M71" s="7" t="s">
        <v>403</v>
      </c>
      <c r="N71" s="16" t="n">
        <f aca="false">SUMIFS($H$5:H71,$F$5:F71,F71)-SUMIFS($I$5:I71,$F$5:F71,F71)</f>
        <v>-1000</v>
      </c>
    </row>
    <row r="72" customFormat="false" ht="15" hidden="false" customHeight="false" outlineLevel="0" collapsed="false">
      <c r="A72" s="13" t="n">
        <v>21</v>
      </c>
      <c r="B72" s="14" t="n">
        <v>46369.5416666667</v>
      </c>
      <c r="C72" s="7" t="s">
        <v>360</v>
      </c>
      <c r="D72" s="7" t="s">
        <v>360</v>
      </c>
      <c r="E72" s="7" t="s">
        <v>404</v>
      </c>
      <c r="F72" s="7" t="s">
        <v>209</v>
      </c>
      <c r="G72" s="7" t="str">
        <f aca="false">IFERROR(INDEX('Plan de comptes'!$B$5:$B$41,MATCH(F72,'Plan de comptes'!$A$5:$A$41,0)),"COMPTE INCONNU")</f>
        <v>Commerçant externe — Food truck</v>
      </c>
      <c r="H72" s="16"/>
      <c r="I72" s="16" t="n">
        <f aca="false">H71</f>
        <v>1000</v>
      </c>
      <c r="J72" s="7" t="str">
        <f aca="false">IFERROR(INDEX('Plan de comptes'!$D$5:$D$41,MATCH(F72,'Plan de comptes'!$A$5:$A$41,0)),"?")</f>
        <v>FOOD</v>
      </c>
      <c r="K72" s="16" t="n">
        <f aca="false">SUMIFS($H$5:$H$500,$A$5:$A$500,A72)-SUMIFS($I$5:$I$500,$A$5:$A$500,A72)</f>
        <v>0</v>
      </c>
      <c r="L72" s="7" t="s">
        <v>333</v>
      </c>
      <c r="M72" s="7" t="s">
        <v>403</v>
      </c>
      <c r="N72" s="16" t="n">
        <f aca="false">SUMIFS($H$5:H72,$F$5:F72,F72)-SUMIFS($I$5:I72,$F$5:F72,F72)</f>
        <v>-18600</v>
      </c>
    </row>
    <row r="73" customFormat="false" ht="15" hidden="false" customHeight="false" outlineLevel="0" collapsed="false">
      <c r="A73" s="13" t="n">
        <v>21</v>
      </c>
      <c r="B73" s="14" t="n">
        <v>46369.5416666667</v>
      </c>
      <c r="C73" s="7" t="s">
        <v>360</v>
      </c>
      <c r="D73" s="7" t="s">
        <v>364</v>
      </c>
      <c r="E73" s="7" t="s">
        <v>365</v>
      </c>
      <c r="F73" s="7" t="s">
        <v>209</v>
      </c>
      <c r="G73" s="7" t="str">
        <f aca="false">IFERROR(INDEX('Plan de comptes'!$B$5:$B$41,MATCH(F73,'Plan de comptes'!$A$5:$A$41,0)),"COMPTE INCONNU")</f>
        <v>Commerçant externe — Food truck</v>
      </c>
      <c r="H73" s="16" t="n">
        <f aca="false">ROUND(I72*Paramètres!$C$12,0)</f>
        <v>120</v>
      </c>
      <c r="I73" s="16"/>
      <c r="J73" s="7" t="str">
        <f aca="false">IFERROR(INDEX('Plan de comptes'!$D$5:$D$41,MATCH(F73,'Plan de comptes'!$A$5:$A$41,0)),"?")</f>
        <v>FOOD</v>
      </c>
      <c r="K73" s="16" t="n">
        <f aca="false">SUMIFS($H$5:$H$500,$A$5:$A$500,A73)-SUMIFS($I$5:$I$500,$A$5:$A$500,A73)</f>
        <v>0</v>
      </c>
      <c r="L73" s="7" t="s">
        <v>333</v>
      </c>
      <c r="M73" s="7" t="s">
        <v>403</v>
      </c>
      <c r="N73" s="16" t="n">
        <f aca="false">SUMIFS($H$5:H73,$F$5:F73,F73)-SUMIFS($I$5:I73,$F$5:F73,F73)</f>
        <v>-18480</v>
      </c>
    </row>
    <row r="74" customFormat="false" ht="15" hidden="false" customHeight="false" outlineLevel="0" collapsed="false">
      <c r="A74" s="13" t="n">
        <v>21</v>
      </c>
      <c r="B74" s="14" t="n">
        <v>46369.5416666667</v>
      </c>
      <c r="C74" s="7" t="s">
        <v>360</v>
      </c>
      <c r="D74" s="7" t="s">
        <v>364</v>
      </c>
      <c r="E74" s="7" t="s">
        <v>366</v>
      </c>
      <c r="F74" s="7" t="s">
        <v>214</v>
      </c>
      <c r="G74" s="7" t="str">
        <f aca="false">IFERROR(INDEX('Plan de comptes'!$B$5:$B$41,MATCH(F74,'Plan de comptes'!$A$5:$A$41,0)),"COMPTE INCONNU")</f>
        <v>Organisateur — commissions</v>
      </c>
      <c r="H74" s="16"/>
      <c r="I74" s="16" t="n">
        <f aca="false">H73-ROUND(H73*Paramètres!$C$21/(1+Paramètres!$C$21),0)</f>
        <v>102</v>
      </c>
      <c r="J74" s="7" t="str">
        <f aca="false">IFERROR(INDEX('Plan de comptes'!$D$5:$D$41,MATCH(F74,'Plan de comptes'!$A$5:$A$41,0)),"?")</f>
        <v>ORG</v>
      </c>
      <c r="K74" s="16" t="n">
        <f aca="false">SUMIFS($H$5:$H$500,$A$5:$A$500,A74)-SUMIFS($I$5:$I$500,$A$5:$A$500,A74)</f>
        <v>0</v>
      </c>
      <c r="L74" s="7" t="s">
        <v>333</v>
      </c>
      <c r="M74" s="7" t="s">
        <v>403</v>
      </c>
      <c r="N74" s="16" t="n">
        <f aca="false">SUMIFS($H$5:H74,$F$5:F74,F74)-SUMIFS($I$5:I74,$F$5:F74,F74)</f>
        <v>-3830</v>
      </c>
    </row>
    <row r="75" customFormat="false" ht="15" hidden="false" customHeight="false" outlineLevel="0" collapsed="false">
      <c r="A75" s="17" t="n">
        <v>21</v>
      </c>
      <c r="B75" s="18" t="n">
        <v>46369.5416666667</v>
      </c>
      <c r="C75" s="19" t="s">
        <v>360</v>
      </c>
      <c r="D75" s="19" t="s">
        <v>364</v>
      </c>
      <c r="E75" s="19" t="s">
        <v>367</v>
      </c>
      <c r="F75" s="19" t="s">
        <v>224</v>
      </c>
      <c r="G75" s="19" t="str">
        <f aca="false">IFERROR(INDEX('Plan de comptes'!$B$5:$B$41,MATCH(F75,'Plan de comptes'!$A$5:$A$41,0)),"COMPTE INCONNU")</f>
        <v>Organisateur — taxe collectée (à reverser à l'État)</v>
      </c>
      <c r="H75" s="20"/>
      <c r="I75" s="20" t="n">
        <f aca="false">ROUND(H73*Paramètres!$C$21/(1+Paramètres!$C$21),0)</f>
        <v>18</v>
      </c>
      <c r="J75" s="19" t="str">
        <f aca="false">IFERROR(INDEX('Plan de comptes'!$D$5:$D$41,MATCH(F75,'Plan de comptes'!$A$5:$A$41,0)),"?")</f>
        <v>ORG</v>
      </c>
      <c r="K75" s="20" t="n">
        <f aca="false">SUMIFS($H$5:$H$500,$A$5:$A$500,A75)-SUMIFS($I$5:$I$500,$A$5:$A$500,A75)</f>
        <v>0</v>
      </c>
      <c r="L75" s="19" t="s">
        <v>333</v>
      </c>
      <c r="M75" s="19" t="s">
        <v>403</v>
      </c>
      <c r="N75" s="20" t="n">
        <f aca="false">SUMIFS($H$5:H75,$F$5:F75,F75)-SUMIFS($I$5:I75,$F$5:F75,F75)</f>
        <v>-1453</v>
      </c>
    </row>
    <row r="76" customFormat="false" ht="15" hidden="false" customHeight="false" outlineLevel="0" collapsed="false">
      <c r="A76" s="13" t="n">
        <v>22</v>
      </c>
      <c r="B76" s="14" t="n">
        <v>46369.8958333333</v>
      </c>
      <c r="C76" s="7" t="s">
        <v>405</v>
      </c>
      <c r="D76" s="7" t="s">
        <v>360</v>
      </c>
      <c r="E76" s="7" t="s">
        <v>406</v>
      </c>
      <c r="F76" s="7" t="s">
        <v>149</v>
      </c>
      <c r="G76" s="7" t="str">
        <f aca="false">IFERROR(INDEX('Plan de comptes'!$B$5:$B$41,MATCH(F76,'Plan de comptes'!$A$5:$A$41,0)),"COMPTE INCONNU")</f>
        <v>Portefeuille W04 Jean — crédits payés</v>
      </c>
      <c r="H76" s="16" t="n">
        <f aca="false">MIN(I78,-(SUMIFS($H$5:$H$75,$F$5:$F$75,"L-WAL-W04-P")-SUMIFS($I$5:$I$75,$F$5:$F$75,"L-WAL-W04-P")))</f>
        <v>6000</v>
      </c>
      <c r="I76" s="16"/>
      <c r="J76" s="7" t="str">
        <f aca="false">IFERROR(INDEX('Plan de comptes'!$D$5:$D$41,MATCH(F76,'Plan de comptes'!$A$5:$A$41,0)),"?")</f>
        <v>W04</v>
      </c>
      <c r="K76" s="16" t="n">
        <f aca="false">SUMIFS($H$5:$H$500,$A$5:$A$500,A76)-SUMIFS($I$5:$I$500,$A$5:$A$500,A76)</f>
        <v>0</v>
      </c>
      <c r="L76" s="7" t="s">
        <v>407</v>
      </c>
      <c r="M76" s="7" t="s">
        <v>408</v>
      </c>
      <c r="N76" s="16" t="n">
        <f aca="false">SUMIFS($H$5:H76,$F$5:F76,F76)-SUMIFS($I$5:I76,$F$5:F76,F76)</f>
        <v>0</v>
      </c>
    </row>
    <row r="77" customFormat="false" ht="15" hidden="false" customHeight="false" outlineLevel="0" collapsed="false">
      <c r="A77" s="13" t="n">
        <v>22</v>
      </c>
      <c r="B77" s="14" t="n">
        <v>46369.8958333333</v>
      </c>
      <c r="C77" s="7" t="s">
        <v>405</v>
      </c>
      <c r="D77" s="7" t="s">
        <v>360</v>
      </c>
      <c r="E77" s="7" t="s">
        <v>409</v>
      </c>
      <c r="F77" s="7" t="s">
        <v>296</v>
      </c>
      <c r="G77" s="7" t="str">
        <f aca="false">IFERROR(INDEX('Plan de comptes'!$B$5:$B$41,MATCH(F77,'Plan de comptes'!$A$5:$A$41,0)),"COMPTE INCONNU")</f>
        <v>Compte d'attente — anomalies</v>
      </c>
      <c r="H77" s="16" t="n">
        <f aca="false">I78-H76</f>
        <v>3000</v>
      </c>
      <c r="I77" s="16"/>
      <c r="J77" s="7" t="str">
        <f aca="false">IFERROR(INDEX('Plan de comptes'!$D$5:$D$41,MATCH(F77,'Plan de comptes'!$A$5:$A$41,0)),"?")</f>
        <v>—</v>
      </c>
      <c r="K77" s="16" t="n">
        <f aca="false">SUMIFS($H$5:$H$500,$A$5:$A$500,A77)-SUMIFS($I$5:$I$500,$A$5:$A$500,A77)</f>
        <v>0</v>
      </c>
      <c r="L77" s="7" t="s">
        <v>407</v>
      </c>
      <c r="M77" s="7" t="s">
        <v>408</v>
      </c>
      <c r="N77" s="16" t="n">
        <f aca="false">SUMIFS($H$5:H77,$F$5:F77,F77)-SUMIFS($I$5:I77,$F$5:F77,F77)</f>
        <v>3000</v>
      </c>
    </row>
    <row r="78" customFormat="false" ht="15" hidden="false" customHeight="false" outlineLevel="0" collapsed="false">
      <c r="A78" s="13" t="n">
        <v>22</v>
      </c>
      <c r="B78" s="14" t="n">
        <v>46369.8958333333</v>
      </c>
      <c r="C78" s="7" t="s">
        <v>405</v>
      </c>
      <c r="D78" s="7" t="s">
        <v>360</v>
      </c>
      <c r="E78" s="7" t="s">
        <v>410</v>
      </c>
      <c r="F78" s="7" t="s">
        <v>209</v>
      </c>
      <c r="G78" s="7" t="str">
        <f aca="false">IFERROR(INDEX('Plan de comptes'!$B$5:$B$41,MATCH(F78,'Plan de comptes'!$A$5:$A$41,0)),"COMPTE INCONNU")</f>
        <v>Commerçant externe — Food truck</v>
      </c>
      <c r="H78" s="16"/>
      <c r="I78" s="15" t="n">
        <v>9000</v>
      </c>
      <c r="J78" s="7" t="str">
        <f aca="false">IFERROR(INDEX('Plan de comptes'!$D$5:$D$41,MATCH(F78,'Plan de comptes'!$A$5:$A$41,0)),"?")</f>
        <v>FOOD</v>
      </c>
      <c r="K78" s="16" t="n">
        <f aca="false">SUMIFS($H$5:$H$500,$A$5:$A$500,A78)-SUMIFS($I$5:$I$500,$A$5:$A$500,A78)</f>
        <v>0</v>
      </c>
      <c r="L78" s="7" t="s">
        <v>407</v>
      </c>
      <c r="M78" s="7" t="s">
        <v>408</v>
      </c>
      <c r="N78" s="16" t="n">
        <f aca="false">SUMIFS($H$5:H78,$F$5:F78,F78)-SUMIFS($I$5:I78,$F$5:F78,F78)</f>
        <v>-27480</v>
      </c>
    </row>
    <row r="79" customFormat="false" ht="15" hidden="false" customHeight="false" outlineLevel="0" collapsed="false">
      <c r="A79" s="13" t="n">
        <v>22</v>
      </c>
      <c r="B79" s="14" t="n">
        <v>46369.8958333333</v>
      </c>
      <c r="C79" s="7" t="s">
        <v>405</v>
      </c>
      <c r="D79" s="7" t="s">
        <v>364</v>
      </c>
      <c r="E79" s="7" t="s">
        <v>365</v>
      </c>
      <c r="F79" s="7" t="s">
        <v>209</v>
      </c>
      <c r="G79" s="7" t="str">
        <f aca="false">IFERROR(INDEX('Plan de comptes'!$B$5:$B$41,MATCH(F79,'Plan de comptes'!$A$5:$A$41,0)),"COMPTE INCONNU")</f>
        <v>Commerçant externe — Food truck</v>
      </c>
      <c r="H79" s="16" t="n">
        <f aca="false">ROUND(I78*Paramètres!$C$12,0)</f>
        <v>1080</v>
      </c>
      <c r="I79" s="16"/>
      <c r="J79" s="7" t="str">
        <f aca="false">IFERROR(INDEX('Plan de comptes'!$D$5:$D$41,MATCH(F79,'Plan de comptes'!$A$5:$A$41,0)),"?")</f>
        <v>FOOD</v>
      </c>
      <c r="K79" s="16" t="n">
        <f aca="false">SUMIFS($H$5:$H$500,$A$5:$A$500,A79)-SUMIFS($I$5:$I$500,$A$5:$A$500,A79)</f>
        <v>0</v>
      </c>
      <c r="L79" s="7" t="s">
        <v>407</v>
      </c>
      <c r="M79" s="7" t="s">
        <v>408</v>
      </c>
      <c r="N79" s="16" t="n">
        <f aca="false">SUMIFS($H$5:H79,$F$5:F79,F79)-SUMIFS($I$5:I79,$F$5:F79,F79)</f>
        <v>-26400</v>
      </c>
    </row>
    <row r="80" customFormat="false" ht="15" hidden="false" customHeight="false" outlineLevel="0" collapsed="false">
      <c r="A80" s="13" t="n">
        <v>22</v>
      </c>
      <c r="B80" s="14" t="n">
        <v>46369.8958333333</v>
      </c>
      <c r="C80" s="7" t="s">
        <v>405</v>
      </c>
      <c r="D80" s="7" t="s">
        <v>364</v>
      </c>
      <c r="E80" s="7" t="s">
        <v>366</v>
      </c>
      <c r="F80" s="7" t="s">
        <v>214</v>
      </c>
      <c r="G80" s="7" t="str">
        <f aca="false">IFERROR(INDEX('Plan de comptes'!$B$5:$B$41,MATCH(F80,'Plan de comptes'!$A$5:$A$41,0)),"COMPTE INCONNU")</f>
        <v>Organisateur — commissions</v>
      </c>
      <c r="H80" s="16"/>
      <c r="I80" s="16" t="n">
        <f aca="false">H79-ROUND(H79*Paramètres!$C$21/(1+Paramètres!$C$21),0)</f>
        <v>915</v>
      </c>
      <c r="J80" s="7" t="str">
        <f aca="false">IFERROR(INDEX('Plan de comptes'!$D$5:$D$41,MATCH(F80,'Plan de comptes'!$A$5:$A$41,0)),"?")</f>
        <v>ORG</v>
      </c>
      <c r="K80" s="16" t="n">
        <f aca="false">SUMIFS($H$5:$H$500,$A$5:$A$500,A80)-SUMIFS($I$5:$I$500,$A$5:$A$500,A80)</f>
        <v>0</v>
      </c>
      <c r="L80" s="7" t="s">
        <v>407</v>
      </c>
      <c r="M80" s="7" t="s">
        <v>408</v>
      </c>
      <c r="N80" s="16" t="n">
        <f aca="false">SUMIFS($H$5:H80,$F$5:F80,F80)-SUMIFS($I$5:I80,$F$5:F80,F80)</f>
        <v>-4745</v>
      </c>
    </row>
    <row r="81" customFormat="false" ht="15" hidden="false" customHeight="false" outlineLevel="0" collapsed="false">
      <c r="A81" s="17" t="n">
        <v>22</v>
      </c>
      <c r="B81" s="18" t="n">
        <v>46369.8958333333</v>
      </c>
      <c r="C81" s="19" t="s">
        <v>405</v>
      </c>
      <c r="D81" s="19" t="s">
        <v>364</v>
      </c>
      <c r="E81" s="19" t="s">
        <v>367</v>
      </c>
      <c r="F81" s="19" t="s">
        <v>224</v>
      </c>
      <c r="G81" s="19" t="str">
        <f aca="false">IFERROR(INDEX('Plan de comptes'!$B$5:$B$41,MATCH(F81,'Plan de comptes'!$A$5:$A$41,0)),"COMPTE INCONNU")</f>
        <v>Organisateur — taxe collectée (à reverser à l'État)</v>
      </c>
      <c r="H81" s="20"/>
      <c r="I81" s="20" t="n">
        <f aca="false">ROUND(H79*Paramètres!$C$21/(1+Paramètres!$C$21),0)</f>
        <v>165</v>
      </c>
      <c r="J81" s="19" t="str">
        <f aca="false">IFERROR(INDEX('Plan de comptes'!$D$5:$D$41,MATCH(F81,'Plan de comptes'!$A$5:$A$41,0)),"?")</f>
        <v>ORG</v>
      </c>
      <c r="K81" s="20" t="n">
        <f aca="false">SUMIFS($H$5:$H$500,$A$5:$A$500,A81)-SUMIFS($I$5:$I$500,$A$5:$A$500,A81)</f>
        <v>0</v>
      </c>
      <c r="L81" s="19" t="s">
        <v>407</v>
      </c>
      <c r="M81" s="19" t="s">
        <v>408</v>
      </c>
      <c r="N81" s="20" t="n">
        <f aca="false">SUMIFS($H$5:H81,$F$5:F81,F81)-SUMIFS($I$5:I81,$F$5:F81,F81)</f>
        <v>-1618</v>
      </c>
    </row>
    <row r="82" customFormat="false" ht="15" hidden="false" customHeight="false" outlineLevel="0" collapsed="false">
      <c r="A82" s="13" t="n">
        <v>23</v>
      </c>
      <c r="B82" s="14" t="n">
        <v>46369.9791666667</v>
      </c>
      <c r="C82" s="7" t="s">
        <v>411</v>
      </c>
      <c r="D82" s="7" t="s">
        <v>335</v>
      </c>
      <c r="E82" s="7" t="s">
        <v>412</v>
      </c>
      <c r="F82" s="7" t="s">
        <v>232</v>
      </c>
      <c r="G82" s="7" t="str">
        <f aca="false">IFERROR(INDEX('Plan de comptes'!$B$5:$B$41,MATCH(F82,'Plan de comptes'!$A$5:$A$41,0)),"COMPTE INCONNU")</f>
        <v>Organisateur — cautions détenues (à rendre)</v>
      </c>
      <c r="H82" s="16" t="n">
        <f aca="false">Paramètres!$C$23</f>
        <v>2000</v>
      </c>
      <c r="I82" s="16"/>
      <c r="J82" s="7" t="str">
        <f aca="false">IFERROR(INDEX('Plan de comptes'!$D$5:$D$41,MATCH(F82,'Plan de comptes'!$A$5:$A$41,0)),"?")</f>
        <v>ORG</v>
      </c>
      <c r="K82" s="16" t="n">
        <f aca="false">SUMIFS($H$5:$H$500,$A$5:$A$500,A82)-SUMIFS($I$5:$I$500,$A$5:$A$500,A82)</f>
        <v>0</v>
      </c>
      <c r="L82" s="7" t="s">
        <v>333</v>
      </c>
      <c r="M82" s="7" t="s">
        <v>413</v>
      </c>
      <c r="N82" s="16" t="n">
        <f aca="false">SUMIFS($H$5:H82,$F$5:F82,F82)-SUMIFS($I$5:I82,$F$5:F82,F82)</f>
        <v>-2000</v>
      </c>
    </row>
    <row r="83" customFormat="false" ht="15" hidden="false" customHeight="false" outlineLevel="0" collapsed="false">
      <c r="A83" s="17" t="n">
        <v>23</v>
      </c>
      <c r="B83" s="18" t="n">
        <v>46369.9791666667</v>
      </c>
      <c r="C83" s="19" t="s">
        <v>411</v>
      </c>
      <c r="D83" s="19" t="s">
        <v>335</v>
      </c>
      <c r="E83" s="19" t="s">
        <v>414</v>
      </c>
      <c r="F83" s="19" t="s">
        <v>153</v>
      </c>
      <c r="G83" s="19" t="str">
        <f aca="false">IFERROR(INDEX('Plan de comptes'!$B$5:$B$41,MATCH(F83,'Plan de comptes'!$A$5:$A$41,0)),"COMPTE INCONNU")</f>
        <v>Portefeuille W05 Aminata — crédits payés</v>
      </c>
      <c r="H83" s="20"/>
      <c r="I83" s="20" t="n">
        <f aca="false">H82</f>
        <v>2000</v>
      </c>
      <c r="J83" s="19" t="str">
        <f aca="false">IFERROR(INDEX('Plan de comptes'!$D$5:$D$41,MATCH(F83,'Plan de comptes'!$A$5:$A$41,0)),"?")</f>
        <v>W05</v>
      </c>
      <c r="K83" s="20" t="n">
        <f aca="false">SUMIFS($H$5:$H$500,$A$5:$A$500,A83)-SUMIFS($I$5:$I$500,$A$5:$A$500,A83)</f>
        <v>0</v>
      </c>
      <c r="L83" s="19" t="s">
        <v>333</v>
      </c>
      <c r="M83" s="19" t="s">
        <v>413</v>
      </c>
      <c r="N83" s="20" t="n">
        <f aca="false">SUMIFS($H$5:H83,$F$5:F83,F83)-SUMIFS($I$5:I83,$F$5:F83,F83)</f>
        <v>-11000</v>
      </c>
    </row>
    <row r="84" customFormat="false" ht="15" hidden="false" customHeight="false" outlineLevel="0" collapsed="false">
      <c r="A84" s="13" t="n">
        <v>24</v>
      </c>
      <c r="B84" s="14" t="n">
        <v>46370.0416666667</v>
      </c>
      <c r="C84" s="7" t="s">
        <v>415</v>
      </c>
      <c r="D84" s="7" t="s">
        <v>416</v>
      </c>
      <c r="E84" s="7" t="s">
        <v>417</v>
      </c>
      <c r="F84" s="7" t="s">
        <v>183</v>
      </c>
      <c r="G84" s="7" t="str">
        <f aca="false">IFERROR(INDEX('Plan de comptes'!$B$5:$B$41,MATCH(F84,'Plan de comptes'!$A$5:$A$41,0)),"COMPTE INCONNU")</f>
        <v>Espèces en transit vers la banque</v>
      </c>
      <c r="H84" s="16" t="n">
        <f aca="false">Paramètres!$C$24</f>
        <v>36800</v>
      </c>
      <c r="I84" s="16"/>
      <c r="J84" s="7" t="str">
        <f aca="false">IFERROR(INDEX('Plan de comptes'!$D$5:$D$41,MATCH(F84,'Plan de comptes'!$A$5:$A$41,0)),"?")</f>
        <v>ORG</v>
      </c>
      <c r="K84" s="16" t="n">
        <f aca="false">SUMIFS($H$5:$H$500,$A$5:$A$500,A84)-SUMIFS($I$5:$I$500,$A$5:$A$500,A84)</f>
        <v>0</v>
      </c>
      <c r="L84" s="7" t="s">
        <v>347</v>
      </c>
      <c r="M84" s="7" t="s">
        <v>418</v>
      </c>
      <c r="N84" s="16" t="n">
        <f aca="false">SUMIFS($H$5:H84,$F$5:F84,F84)-SUMIFS($I$5:I84,$F$5:F84,F84)</f>
        <v>36800</v>
      </c>
    </row>
    <row r="85" customFormat="false" ht="15" hidden="false" customHeight="false" outlineLevel="0" collapsed="false">
      <c r="A85" s="13" t="n">
        <v>24</v>
      </c>
      <c r="B85" s="14" t="n">
        <v>46370.0416666667</v>
      </c>
      <c r="C85" s="7" t="s">
        <v>415</v>
      </c>
      <c r="D85" s="7" t="s">
        <v>416</v>
      </c>
      <c r="E85" s="7" t="s">
        <v>419</v>
      </c>
      <c r="F85" s="7" t="s">
        <v>252</v>
      </c>
      <c r="G85" s="7" t="str">
        <f aca="false">IFERROR(INDEX('Plan de comptes'!$B$5:$B$41,MATCH(F85,'Plan de comptes'!$A$5:$A$41,0)),"COMPTE INCONNU")</f>
        <v>Organisateur — pertes (fraude, écarts de caisse)</v>
      </c>
      <c r="H85" s="16" t="n">
        <f aca="false">MAX(0,(SUMIFS($H$5:$H$83,$F$5:$F$83,"A-CAISSE-C1")-SUMIFS($I$5:$I$83,$F$5:$F$83,"A-CAISSE-C1"))-H84)</f>
        <v>200</v>
      </c>
      <c r="I85" s="16" t="n">
        <f aca="false">MAX(0,H84-(SUMIFS($H$5:$H$83,$F$5:$F$83,"A-CAISSE-C1")-SUMIFS($I$5:$I$83,$F$5:$F$83,"A-CAISSE-C1")))</f>
        <v>0</v>
      </c>
      <c r="J85" s="7" t="str">
        <f aca="false">IFERROR(INDEX('Plan de comptes'!$D$5:$D$41,MATCH(F85,'Plan de comptes'!$A$5:$A$41,0)),"?")</f>
        <v>ORG</v>
      </c>
      <c r="K85" s="16" t="n">
        <f aca="false">SUMIFS($H$5:$H$500,$A$5:$A$500,A85)-SUMIFS($I$5:$I$500,$A$5:$A$500,A85)</f>
        <v>0</v>
      </c>
      <c r="L85" s="7" t="s">
        <v>347</v>
      </c>
      <c r="M85" s="7" t="s">
        <v>418</v>
      </c>
      <c r="N85" s="16" t="n">
        <f aca="false">SUMIFS($H$5:H85,$F$5:F85,F85)-SUMIFS($I$5:I85,$F$5:F85,F85)</f>
        <v>200</v>
      </c>
    </row>
    <row r="86" customFormat="false" ht="15" hidden="false" customHeight="false" outlineLevel="0" collapsed="false">
      <c r="A86" s="17" t="n">
        <v>24</v>
      </c>
      <c r="B86" s="18" t="n">
        <v>46370.0416666667</v>
      </c>
      <c r="C86" s="19" t="s">
        <v>415</v>
      </c>
      <c r="D86" s="19" t="s">
        <v>416</v>
      </c>
      <c r="E86" s="19" t="s">
        <v>420</v>
      </c>
      <c r="F86" s="19" t="s">
        <v>179</v>
      </c>
      <c r="G86" s="19" t="str">
        <f aca="false">IFERROR(INDEX('Plan de comptes'!$B$5:$B$41,MATCH(F86,'Plan de comptes'!$A$5:$A$41,0)),"COMPTE INCONNU")</f>
        <v>Caisse de recharge C1 (espèces)</v>
      </c>
      <c r="H86" s="20"/>
      <c r="I86" s="20" t="n">
        <f aca="false">(SUMIFS($H$5:$H$83,$F$5:$F$83,"A-CAISSE-C1")-SUMIFS($I$5:$I$83,$F$5:$F$83,"A-CAISSE-C1"))</f>
        <v>37000</v>
      </c>
      <c r="J86" s="19" t="str">
        <f aca="false">IFERROR(INDEX('Plan de comptes'!$D$5:$D$41,MATCH(F86,'Plan de comptes'!$A$5:$A$41,0)),"?")</f>
        <v>ORG</v>
      </c>
      <c r="K86" s="20" t="n">
        <f aca="false">SUMIFS($H$5:$H$500,$A$5:$A$500,A86)-SUMIFS($I$5:$I$500,$A$5:$A$500,A86)</f>
        <v>0</v>
      </c>
      <c r="L86" s="19" t="s">
        <v>347</v>
      </c>
      <c r="M86" s="19" t="s">
        <v>418</v>
      </c>
      <c r="N86" s="20" t="n">
        <f aca="false">SUMIFS($H$5:H86,$F$5:F86,F86)-SUMIFS($I$5:I86,$F$5:F86,F86)</f>
        <v>0</v>
      </c>
    </row>
    <row r="87" customFormat="false" ht="15" hidden="false" customHeight="false" outlineLevel="0" collapsed="false">
      <c r="A87" s="13" t="n">
        <v>25</v>
      </c>
      <c r="B87" s="14" t="n">
        <v>46370.4166666667</v>
      </c>
      <c r="C87" s="7" t="s">
        <v>421</v>
      </c>
      <c r="D87" s="7" t="s">
        <v>422</v>
      </c>
      <c r="E87" s="7" t="s">
        <v>423</v>
      </c>
      <c r="F87" s="7" t="s">
        <v>252</v>
      </c>
      <c r="G87" s="7" t="str">
        <f aca="false">IFERROR(INDEX('Plan de comptes'!$B$5:$B$41,MATCH(F87,'Plan de comptes'!$A$5:$A$41,0)),"COMPTE INCONNU")</f>
        <v>Organisateur — pertes (fraude, écarts de caisse)</v>
      </c>
      <c r="H87" s="16" t="n">
        <f aca="false">(SUMIFS($H$5:$H$86,$F$5:$F$86,"S-ATTENTE")-SUMIFS($I$5:$I$86,$F$5:$F$86,"S-ATTENTE"))</f>
        <v>3000</v>
      </c>
      <c r="I87" s="16"/>
      <c r="J87" s="7" t="str">
        <f aca="false">IFERROR(INDEX('Plan de comptes'!$D$5:$D$41,MATCH(F87,'Plan de comptes'!$A$5:$A$41,0)),"?")</f>
        <v>ORG</v>
      </c>
      <c r="K87" s="16" t="n">
        <f aca="false">SUMIFS($H$5:$H$500,$A$5:$A$500,A87)-SUMIFS($I$5:$I$500,$A$5:$A$500,A87)</f>
        <v>0</v>
      </c>
      <c r="L87" s="7" t="s">
        <v>347</v>
      </c>
      <c r="M87" s="7" t="s">
        <v>424</v>
      </c>
      <c r="N87" s="16" t="n">
        <f aca="false">SUMIFS($H$5:H87,$F$5:F87,F87)-SUMIFS($I$5:I87,$F$5:F87,F87)</f>
        <v>3200</v>
      </c>
    </row>
    <row r="88" customFormat="false" ht="15" hidden="false" customHeight="false" outlineLevel="0" collapsed="false">
      <c r="A88" s="17" t="n">
        <v>25</v>
      </c>
      <c r="B88" s="18" t="n">
        <v>46370.4166666667</v>
      </c>
      <c r="C88" s="19" t="s">
        <v>421</v>
      </c>
      <c r="D88" s="19" t="s">
        <v>422</v>
      </c>
      <c r="E88" s="19" t="s">
        <v>425</v>
      </c>
      <c r="F88" s="19" t="s">
        <v>296</v>
      </c>
      <c r="G88" s="19" t="str">
        <f aca="false">IFERROR(INDEX('Plan de comptes'!$B$5:$B$41,MATCH(F88,'Plan de comptes'!$A$5:$A$41,0)),"COMPTE INCONNU")</f>
        <v>Compte d'attente — anomalies</v>
      </c>
      <c r="H88" s="20"/>
      <c r="I88" s="20" t="n">
        <f aca="false">H87</f>
        <v>3000</v>
      </c>
      <c r="J88" s="19" t="str">
        <f aca="false">IFERROR(INDEX('Plan de comptes'!$D$5:$D$41,MATCH(F88,'Plan de comptes'!$A$5:$A$41,0)),"?")</f>
        <v>—</v>
      </c>
      <c r="K88" s="20" t="n">
        <f aca="false">SUMIFS($H$5:$H$500,$A$5:$A$500,A88)-SUMIFS($I$5:$I$500,$A$5:$A$500,A88)</f>
        <v>0</v>
      </c>
      <c r="L88" s="19" t="s">
        <v>347</v>
      </c>
      <c r="M88" s="19" t="s">
        <v>424</v>
      </c>
      <c r="N88" s="20" t="n">
        <f aca="false">SUMIFS($H$5:H88,$F$5:F88,F88)-SUMIFS($I$5:I88,$F$5:F88,F88)</f>
        <v>0</v>
      </c>
    </row>
    <row r="89" customFormat="false" ht="15" hidden="false" customHeight="false" outlineLevel="0" collapsed="false">
      <c r="A89" s="13" t="n">
        <v>26</v>
      </c>
      <c r="B89" s="14" t="n">
        <v>46371.375</v>
      </c>
      <c r="C89" s="7" t="s">
        <v>426</v>
      </c>
      <c r="D89" s="7" t="s">
        <v>427</v>
      </c>
      <c r="E89" s="7" t="s">
        <v>428</v>
      </c>
      <c r="F89" s="7" t="s">
        <v>187</v>
      </c>
      <c r="G89" s="7" t="str">
        <f aca="false">IFERROR(INDEX('Plan de comptes'!$B$5:$B$41,MATCH(F89,'Plan de comptes'!$A$5:$A$41,0)),"COMPTE INCONNU")</f>
        <v>Banque — compte cantonné du pool</v>
      </c>
      <c r="H89" s="16" t="n">
        <f aca="false">(SUMIFS($H$5:$H$88,$F$5:$F$88,"A-TRANSIT")-SUMIFS($I$5:$I$88,$F$5:$F$88,"A-TRANSIT"))</f>
        <v>36800</v>
      </c>
      <c r="I89" s="16"/>
      <c r="J89" s="7" t="str">
        <f aca="false">IFERROR(INDEX('Plan de comptes'!$D$5:$D$41,MATCH(F89,'Plan de comptes'!$A$5:$A$41,0)),"?")</f>
        <v>ORG</v>
      </c>
      <c r="K89" s="16" t="n">
        <f aca="false">SUMIFS($H$5:$H$500,$A$5:$A$500,A89)-SUMIFS($I$5:$I$500,$A$5:$A$500,A89)</f>
        <v>0</v>
      </c>
      <c r="L89" s="7" t="s">
        <v>352</v>
      </c>
      <c r="M89" s="7" t="s">
        <v>429</v>
      </c>
      <c r="N89" s="16" t="n">
        <f aca="false">SUMIFS($H$5:H89,$F$5:F89,F89)-SUMIFS($I$5:I89,$F$5:F89,F89)</f>
        <v>36800</v>
      </c>
    </row>
    <row r="90" customFormat="false" ht="15" hidden="false" customHeight="false" outlineLevel="0" collapsed="false">
      <c r="A90" s="17" t="n">
        <v>26</v>
      </c>
      <c r="B90" s="18" t="n">
        <v>46371.375</v>
      </c>
      <c r="C90" s="19" t="s">
        <v>426</v>
      </c>
      <c r="D90" s="19" t="s">
        <v>427</v>
      </c>
      <c r="E90" s="19" t="s">
        <v>428</v>
      </c>
      <c r="F90" s="19" t="s">
        <v>183</v>
      </c>
      <c r="G90" s="19" t="str">
        <f aca="false">IFERROR(INDEX('Plan de comptes'!$B$5:$B$41,MATCH(F90,'Plan de comptes'!$A$5:$A$41,0)),"COMPTE INCONNU")</f>
        <v>Espèces en transit vers la banque</v>
      </c>
      <c r="H90" s="20"/>
      <c r="I90" s="20" t="n">
        <f aca="false">H89</f>
        <v>36800</v>
      </c>
      <c r="J90" s="19" t="str">
        <f aca="false">IFERROR(INDEX('Plan de comptes'!$D$5:$D$41,MATCH(F90,'Plan de comptes'!$A$5:$A$41,0)),"?")</f>
        <v>ORG</v>
      </c>
      <c r="K90" s="20" t="n">
        <f aca="false">SUMIFS($H$5:$H$500,$A$5:$A$500,A90)-SUMIFS($I$5:$I$500,$A$5:$A$500,A90)</f>
        <v>0</v>
      </c>
      <c r="L90" s="19" t="s">
        <v>352</v>
      </c>
      <c r="M90" s="19" t="s">
        <v>429</v>
      </c>
      <c r="N90" s="20" t="n">
        <f aca="false">SUMIFS($H$5:H90,$F$5:F90,F90)-SUMIFS($I$5:I90,$F$5:F90,F90)</f>
        <v>0</v>
      </c>
    </row>
    <row r="91" customFormat="false" ht="15" hidden="false" customHeight="false" outlineLevel="0" collapsed="false">
      <c r="A91" s="13" t="n">
        <v>27</v>
      </c>
      <c r="B91" s="14" t="n">
        <v>46371.5</v>
      </c>
      <c r="C91" s="7" t="s">
        <v>430</v>
      </c>
      <c r="D91" s="7" t="s">
        <v>427</v>
      </c>
      <c r="E91" s="7" t="s">
        <v>431</v>
      </c>
      <c r="F91" s="7" t="s">
        <v>187</v>
      </c>
      <c r="G91" s="7" t="str">
        <f aca="false">IFERROR(INDEX('Plan de comptes'!$B$5:$B$41,MATCH(F91,'Plan de comptes'!$A$5:$A$41,0)),"COMPTE INCONNU")</f>
        <v>Banque — compte cantonné du pool</v>
      </c>
      <c r="H91" s="16" t="n">
        <f aca="false">(SUMIFS($H$5:$H$90,$F$5:$F$90,"A-PSP-WAVE")-SUMIFS($I$5:$I$90,$F$5:$F$90,"A-PSP-WAVE"))</f>
        <v>19800</v>
      </c>
      <c r="I91" s="16"/>
      <c r="J91" s="7" t="str">
        <f aca="false">IFERROR(INDEX('Plan de comptes'!$D$5:$D$41,MATCH(F91,'Plan de comptes'!$A$5:$A$41,0)),"?")</f>
        <v>ORG</v>
      </c>
      <c r="K91" s="16" t="n">
        <f aca="false">SUMIFS($H$5:$H$500,$A$5:$A$500,A91)-SUMIFS($I$5:$I$500,$A$5:$A$500,A91)</f>
        <v>0</v>
      </c>
      <c r="L91" s="7" t="s">
        <v>352</v>
      </c>
      <c r="M91" s="7" t="s">
        <v>432</v>
      </c>
      <c r="N91" s="16" t="n">
        <f aca="false">SUMIFS($H$5:H91,$F$5:F91,F91)-SUMIFS($I$5:I91,$F$5:F91,F91)</f>
        <v>56600</v>
      </c>
    </row>
    <row r="92" customFormat="false" ht="15" hidden="false" customHeight="false" outlineLevel="0" collapsed="false">
      <c r="A92" s="17" t="n">
        <v>27</v>
      </c>
      <c r="B92" s="18" t="n">
        <v>46371.5</v>
      </c>
      <c r="C92" s="19" t="s">
        <v>430</v>
      </c>
      <c r="D92" s="19" t="s">
        <v>427</v>
      </c>
      <c r="E92" s="19" t="s">
        <v>433</v>
      </c>
      <c r="F92" s="19" t="s">
        <v>168</v>
      </c>
      <c r="G92" s="19" t="str">
        <f aca="false">IFERROR(INDEX('Plan de comptes'!$B$5:$B$41,MATCH(F92,'Plan de comptes'!$A$5:$A$41,0)),"COMPTE INCONNU")</f>
        <v>Créance sur Wave</v>
      </c>
      <c r="H92" s="20"/>
      <c r="I92" s="20" t="n">
        <f aca="false">H91</f>
        <v>19800</v>
      </c>
      <c r="J92" s="19" t="str">
        <f aca="false">IFERROR(INDEX('Plan de comptes'!$D$5:$D$41,MATCH(F92,'Plan de comptes'!$A$5:$A$41,0)),"?")</f>
        <v>ORG</v>
      </c>
      <c r="K92" s="20" t="n">
        <f aca="false">SUMIFS($H$5:$H$500,$A$5:$A$500,A92)-SUMIFS($I$5:$I$500,$A$5:$A$500,A92)</f>
        <v>0</v>
      </c>
      <c r="L92" s="19" t="s">
        <v>352</v>
      </c>
      <c r="M92" s="19" t="s">
        <v>432</v>
      </c>
      <c r="N92" s="20" t="n">
        <f aca="false">SUMIFS($H$5:H92,$F$5:F92,F92)-SUMIFS($I$5:I92,$F$5:F92,F92)</f>
        <v>0</v>
      </c>
    </row>
    <row r="93" customFormat="false" ht="15" hidden="false" customHeight="false" outlineLevel="0" collapsed="false">
      <c r="A93" s="13" t="n">
        <v>28</v>
      </c>
      <c r="B93" s="14" t="n">
        <v>46371.5034722222</v>
      </c>
      <c r="C93" s="7" t="s">
        <v>430</v>
      </c>
      <c r="D93" s="7" t="s">
        <v>427</v>
      </c>
      <c r="E93" s="7" t="s">
        <v>434</v>
      </c>
      <c r="F93" s="7" t="s">
        <v>187</v>
      </c>
      <c r="G93" s="7" t="str">
        <f aca="false">IFERROR(INDEX('Plan de comptes'!$B$5:$B$41,MATCH(F93,'Plan de comptes'!$A$5:$A$41,0)),"COMPTE INCONNU")</f>
        <v>Banque — compte cantonné du pool</v>
      </c>
      <c r="H93" s="16" t="n">
        <f aca="false">(SUMIFS($H$5:$H$92,$F$5:$F$92,"A-PSP-OM")-SUMIFS($I$5:$I$92,$F$5:$F$92,"A-PSP-OM"))</f>
        <v>14775</v>
      </c>
      <c r="I93" s="16"/>
      <c r="J93" s="7" t="str">
        <f aca="false">IFERROR(INDEX('Plan de comptes'!$D$5:$D$41,MATCH(F93,'Plan de comptes'!$A$5:$A$41,0)),"?")</f>
        <v>ORG</v>
      </c>
      <c r="K93" s="16" t="n">
        <f aca="false">SUMIFS($H$5:$H$500,$A$5:$A$500,A93)-SUMIFS($I$5:$I$500,$A$5:$A$500,A93)</f>
        <v>0</v>
      </c>
      <c r="L93" s="7" t="s">
        <v>352</v>
      </c>
      <c r="M93" s="7" t="s">
        <v>435</v>
      </c>
      <c r="N93" s="16" t="n">
        <f aca="false">SUMIFS($H$5:H93,$F$5:F93,F93)-SUMIFS($I$5:I93,$F$5:F93,F93)</f>
        <v>71375</v>
      </c>
    </row>
    <row r="94" customFormat="false" ht="15" hidden="false" customHeight="false" outlineLevel="0" collapsed="false">
      <c r="A94" s="17" t="n">
        <v>28</v>
      </c>
      <c r="B94" s="18" t="n">
        <v>46371.5034722222</v>
      </c>
      <c r="C94" s="19" t="s">
        <v>430</v>
      </c>
      <c r="D94" s="19" t="s">
        <v>427</v>
      </c>
      <c r="E94" s="19" t="s">
        <v>436</v>
      </c>
      <c r="F94" s="19" t="s">
        <v>175</v>
      </c>
      <c r="G94" s="19" t="str">
        <f aca="false">IFERROR(INDEX('Plan de comptes'!$B$5:$B$41,MATCH(F94,'Plan de comptes'!$A$5:$A$41,0)),"COMPTE INCONNU")</f>
        <v>Créance sur Orange Money</v>
      </c>
      <c r="H94" s="20"/>
      <c r="I94" s="20" t="n">
        <f aca="false">H93</f>
        <v>14775</v>
      </c>
      <c r="J94" s="19" t="str">
        <f aca="false">IFERROR(INDEX('Plan de comptes'!$D$5:$D$41,MATCH(F94,'Plan de comptes'!$A$5:$A$41,0)),"?")</f>
        <v>ORG</v>
      </c>
      <c r="K94" s="20" t="n">
        <f aca="false">SUMIFS($H$5:$H$500,$A$5:$A$500,A94)-SUMIFS($I$5:$I$500,$A$5:$A$500,A94)</f>
        <v>0</v>
      </c>
      <c r="L94" s="19" t="s">
        <v>352</v>
      </c>
      <c r="M94" s="19" t="s">
        <v>435</v>
      </c>
      <c r="N94" s="20" t="n">
        <f aca="false">SUMIFS($H$5:H94,$F$5:F94,F94)-SUMIFS($I$5:I94,$F$5:F94,F94)</f>
        <v>0</v>
      </c>
    </row>
    <row r="95" customFormat="false" ht="15" hidden="false" customHeight="false" outlineLevel="0" collapsed="false">
      <c r="A95" s="13" t="n">
        <v>29</v>
      </c>
      <c r="B95" s="14" t="n">
        <v>46372.375</v>
      </c>
      <c r="C95" s="7" t="s">
        <v>430</v>
      </c>
      <c r="D95" s="7" t="s">
        <v>427</v>
      </c>
      <c r="E95" s="7" t="s">
        <v>437</v>
      </c>
      <c r="F95" s="7" t="s">
        <v>187</v>
      </c>
      <c r="G95" s="7" t="str">
        <f aca="false">IFERROR(INDEX('Plan de comptes'!$B$5:$B$41,MATCH(F95,'Plan de comptes'!$A$5:$A$41,0)),"COMPTE INCONNU")</f>
        <v>Banque — compte cantonné du pool</v>
      </c>
      <c r="H95" s="16" t="n">
        <f aca="false">(SUMIFS($H$5:$H$94,$F$5:$F$94,"A-PSP-CARTE")-SUMIFS($I$5:$I$94,$F$5:$F$94,"A-PSP-CARTE"))</f>
        <v>29250</v>
      </c>
      <c r="I95" s="16"/>
      <c r="J95" s="7" t="str">
        <f aca="false">IFERROR(INDEX('Plan de comptes'!$D$5:$D$41,MATCH(F95,'Plan de comptes'!$A$5:$A$41,0)),"?")</f>
        <v>ORG</v>
      </c>
      <c r="K95" s="16" t="n">
        <f aca="false">SUMIFS($H$5:$H$500,$A$5:$A$500,A95)-SUMIFS($I$5:$I$500,$A$5:$A$500,A95)</f>
        <v>0</v>
      </c>
      <c r="L95" s="7" t="s">
        <v>352</v>
      </c>
      <c r="M95" s="7" t="s">
        <v>438</v>
      </c>
      <c r="N95" s="16" t="n">
        <f aca="false">SUMIFS($H$5:H95,$F$5:F95,F95)-SUMIFS($I$5:I95,$F$5:F95,F95)</f>
        <v>100625</v>
      </c>
    </row>
    <row r="96" customFormat="false" ht="15" hidden="false" customHeight="false" outlineLevel="0" collapsed="false">
      <c r="A96" s="17" t="n">
        <v>29</v>
      </c>
      <c r="B96" s="18" t="n">
        <v>46372.375</v>
      </c>
      <c r="C96" s="19" t="s">
        <v>430</v>
      </c>
      <c r="D96" s="19" t="s">
        <v>427</v>
      </c>
      <c r="E96" s="19" t="s">
        <v>439</v>
      </c>
      <c r="F96" s="19" t="s">
        <v>177</v>
      </c>
      <c r="G96" s="19" t="str">
        <f aca="false">IFERROR(INDEX('Plan de comptes'!$B$5:$B$41,MATCH(F96,'Plan de comptes'!$A$5:$A$41,0)),"COMPTE INCONNU")</f>
        <v>Créance sur PSP carte</v>
      </c>
      <c r="H96" s="20"/>
      <c r="I96" s="20" t="n">
        <f aca="false">H95</f>
        <v>29250</v>
      </c>
      <c r="J96" s="19" t="str">
        <f aca="false">IFERROR(INDEX('Plan de comptes'!$D$5:$D$41,MATCH(F96,'Plan de comptes'!$A$5:$A$41,0)),"?")</f>
        <v>ORG</v>
      </c>
      <c r="K96" s="20" t="n">
        <f aca="false">SUMIFS($H$5:$H$500,$A$5:$A$500,A96)-SUMIFS($I$5:$I$500,$A$5:$A$500,A96)</f>
        <v>0</v>
      </c>
      <c r="L96" s="19" t="s">
        <v>352</v>
      </c>
      <c r="M96" s="19" t="s">
        <v>438</v>
      </c>
      <c r="N96" s="20" t="n">
        <f aca="false">SUMIFS($H$5:H96,$F$5:F96,F96)-SUMIFS($I$5:I96,$F$5:F96,F96)</f>
        <v>0</v>
      </c>
    </row>
    <row r="97" customFormat="false" ht="15" hidden="false" customHeight="false" outlineLevel="0" collapsed="false">
      <c r="A97" s="13" t="n">
        <v>30</v>
      </c>
      <c r="B97" s="14" t="n">
        <v>46372.5</v>
      </c>
      <c r="C97" s="7" t="s">
        <v>440</v>
      </c>
      <c r="D97" s="7" t="s">
        <v>441</v>
      </c>
      <c r="E97" s="7" t="s">
        <v>442</v>
      </c>
      <c r="F97" s="7" t="s">
        <v>209</v>
      </c>
      <c r="G97" s="7" t="str">
        <f aca="false">IFERROR(INDEX('Plan de comptes'!$B$5:$B$41,MATCH(F97,'Plan de comptes'!$A$5:$A$41,0)),"COMPTE INCONNU")</f>
        <v>Commerçant externe — Food truck</v>
      </c>
      <c r="H97" s="16" t="n">
        <f aca="false">Paramètres!$C$15</f>
        <v>15000</v>
      </c>
      <c r="I97" s="16"/>
      <c r="J97" s="7" t="str">
        <f aca="false">IFERROR(INDEX('Plan de comptes'!$D$5:$D$41,MATCH(F97,'Plan de comptes'!$A$5:$A$41,0)),"?")</f>
        <v>FOOD</v>
      </c>
      <c r="K97" s="16" t="n">
        <f aca="false">SUMIFS($H$5:$H$500,$A$5:$A$500,A97)-SUMIFS($I$5:$I$500,$A$5:$A$500,A97)</f>
        <v>0</v>
      </c>
      <c r="L97" s="7" t="s">
        <v>352</v>
      </c>
      <c r="M97" s="7" t="s">
        <v>443</v>
      </c>
      <c r="N97" s="16" t="n">
        <f aca="false">SUMIFS($H$5:H97,$F$5:F97,F97)-SUMIFS($I$5:I97,$F$5:F97,F97)</f>
        <v>-11400</v>
      </c>
    </row>
    <row r="98" customFormat="false" ht="15" hidden="false" customHeight="false" outlineLevel="0" collapsed="false">
      <c r="A98" s="13" t="n">
        <v>30</v>
      </c>
      <c r="B98" s="14" t="n">
        <v>46372.5</v>
      </c>
      <c r="C98" s="7" t="s">
        <v>440</v>
      </c>
      <c r="D98" s="7" t="s">
        <v>441</v>
      </c>
      <c r="E98" s="7" t="s">
        <v>444</v>
      </c>
      <c r="F98" s="7" t="s">
        <v>212</v>
      </c>
      <c r="G98" s="7" t="str">
        <f aca="false">IFERROR(INDEX('Plan de comptes'!$B$5:$B$41,MATCH(F98,'Plan de comptes'!$A$5:$A$41,0)),"COMPTE INCONNU")</f>
        <v>Commerçant externe — Tee-shirts</v>
      </c>
      <c r="H98" s="16" t="n">
        <f aca="false">Paramètres!$C$16</f>
        <v>10000</v>
      </c>
      <c r="I98" s="16"/>
      <c r="J98" s="7" t="str">
        <f aca="false">IFERROR(INDEX('Plan de comptes'!$D$5:$D$41,MATCH(F98,'Plan de comptes'!$A$5:$A$41,0)),"?")</f>
        <v>TEE</v>
      </c>
      <c r="K98" s="16" t="n">
        <f aca="false">SUMIFS($H$5:$H$500,$A$5:$A$500,A98)-SUMIFS($I$5:$I$500,$A$5:$A$500,A98)</f>
        <v>0</v>
      </c>
      <c r="L98" s="7" t="s">
        <v>352</v>
      </c>
      <c r="M98" s="7" t="s">
        <v>443</v>
      </c>
      <c r="N98" s="16" t="n">
        <f aca="false">SUMIFS($H$5:H98,$F$5:F98,F98)-SUMIFS($I$5:I98,$F$5:F98,F98)</f>
        <v>-8000</v>
      </c>
    </row>
    <row r="99" customFormat="false" ht="15" hidden="false" customHeight="false" outlineLevel="0" collapsed="false">
      <c r="A99" s="13" t="n">
        <v>30</v>
      </c>
      <c r="B99" s="14" t="n">
        <v>46372.5</v>
      </c>
      <c r="C99" s="7" t="s">
        <v>440</v>
      </c>
      <c r="D99" s="7" t="s">
        <v>441</v>
      </c>
      <c r="E99" s="7" t="s">
        <v>445</v>
      </c>
      <c r="F99" s="7" t="s">
        <v>218</v>
      </c>
      <c r="G99" s="7" t="str">
        <f aca="false">IFERROR(INDEX('Plan de comptes'!$B$5:$B$41,MATCH(F99,'Plan de comptes'!$A$5:$A$41,0)),"COMPTE INCONNU")</f>
        <v>Organisateur — droits de place</v>
      </c>
      <c r="H99" s="16"/>
      <c r="I99" s="16" t="n">
        <f aca="false">(H97+H98)-ROUND((H97+H98)*Paramètres!$C$21/(1+Paramètres!$C$21),0)</f>
        <v>21186</v>
      </c>
      <c r="J99" s="7" t="str">
        <f aca="false">IFERROR(INDEX('Plan de comptes'!$D$5:$D$41,MATCH(F99,'Plan de comptes'!$A$5:$A$41,0)),"?")</f>
        <v>ORG</v>
      </c>
      <c r="K99" s="16" t="n">
        <f aca="false">SUMIFS($H$5:$H$500,$A$5:$A$500,A99)-SUMIFS($I$5:$I$500,$A$5:$A$500,A99)</f>
        <v>0</v>
      </c>
      <c r="L99" s="7" t="s">
        <v>352</v>
      </c>
      <c r="M99" s="7" t="s">
        <v>443</v>
      </c>
      <c r="N99" s="16" t="n">
        <f aca="false">SUMIFS($H$5:H99,$F$5:F99,F99)-SUMIFS($I$5:I99,$F$5:F99,F99)</f>
        <v>-21186</v>
      </c>
    </row>
    <row r="100" customFormat="false" ht="15" hidden="false" customHeight="false" outlineLevel="0" collapsed="false">
      <c r="A100" s="17" t="n">
        <v>30</v>
      </c>
      <c r="B100" s="18" t="n">
        <v>46372.5</v>
      </c>
      <c r="C100" s="19" t="s">
        <v>440</v>
      </c>
      <c r="D100" s="19" t="s">
        <v>441</v>
      </c>
      <c r="E100" s="19" t="s">
        <v>446</v>
      </c>
      <c r="F100" s="19" t="s">
        <v>224</v>
      </c>
      <c r="G100" s="19" t="str">
        <f aca="false">IFERROR(INDEX('Plan de comptes'!$B$5:$B$41,MATCH(F100,'Plan de comptes'!$A$5:$A$41,0)),"COMPTE INCONNU")</f>
        <v>Organisateur — taxe collectée (à reverser à l'État)</v>
      </c>
      <c r="H100" s="20"/>
      <c r="I100" s="20" t="n">
        <f aca="false">ROUND((H97+H98)*Paramètres!$C$21/(1+Paramètres!$C$21),0)</f>
        <v>3814</v>
      </c>
      <c r="J100" s="19" t="str">
        <f aca="false">IFERROR(INDEX('Plan de comptes'!$D$5:$D$41,MATCH(F100,'Plan de comptes'!$A$5:$A$41,0)),"?")</f>
        <v>ORG</v>
      </c>
      <c r="K100" s="20" t="n">
        <f aca="false">SUMIFS($H$5:$H$500,$A$5:$A$500,A100)-SUMIFS($I$5:$I$500,$A$5:$A$500,A100)</f>
        <v>0</v>
      </c>
      <c r="L100" s="19" t="s">
        <v>352</v>
      </c>
      <c r="M100" s="19" t="s">
        <v>443</v>
      </c>
      <c r="N100" s="20" t="n">
        <f aca="false">SUMIFS($H$5:H100,$F$5:F100,F100)-SUMIFS($I$5:I100,$F$5:F100,F100)</f>
        <v>-5432</v>
      </c>
    </row>
    <row r="101" customFormat="false" ht="15" hidden="false" customHeight="false" outlineLevel="0" collapsed="false">
      <c r="A101" s="13" t="n">
        <v>31</v>
      </c>
      <c r="B101" s="14" t="n">
        <v>46372.5034722222</v>
      </c>
      <c r="C101" s="7" t="s">
        <v>447</v>
      </c>
      <c r="D101" s="7" t="s">
        <v>447</v>
      </c>
      <c r="E101" s="7" t="s">
        <v>448</v>
      </c>
      <c r="F101" s="7" t="s">
        <v>248</v>
      </c>
      <c r="G101" s="7" t="str">
        <f aca="false">IFERROR(INDEX('Plan de comptes'!$B$5:$B$41,MATCH(F101,'Plan de comptes'!$A$5:$A$41,0)),"COMPTE INCONNU")</f>
        <v>Organisateur — frais du prestataire</v>
      </c>
      <c r="H101" s="16" t="n">
        <f aca="false">ROUND(SUMIFS($I$5:$I$100,$C$5:$C$100,"Recharge*",$D$5:$D$100,"Recharge")*Paramètres!$C$17,0)</f>
        <v>3000</v>
      </c>
      <c r="I101" s="16"/>
      <c r="J101" s="7" t="str">
        <f aca="false">IFERROR(INDEX('Plan de comptes'!$D$5:$D$41,MATCH(F101,'Plan de comptes'!$A$5:$A$41,0)),"?")</f>
        <v>ORG</v>
      </c>
      <c r="K101" s="16" t="n">
        <f aca="false">SUMIFS($H$5:$H$500,$A$5:$A$500,A101)-SUMIFS($I$5:$I$500,$A$5:$A$500,A101)</f>
        <v>0</v>
      </c>
      <c r="L101" s="7" t="s">
        <v>352</v>
      </c>
      <c r="M101" s="7" t="s">
        <v>449</v>
      </c>
      <c r="N101" s="16" t="n">
        <f aca="false">SUMIFS($H$5:H101,$F$5:F101,F101)-SUMIFS($I$5:I101,$F$5:F101,F101)</f>
        <v>3000</v>
      </c>
    </row>
    <row r="102" customFormat="false" ht="15" hidden="false" customHeight="false" outlineLevel="0" collapsed="false">
      <c r="A102" s="13" t="n">
        <v>31</v>
      </c>
      <c r="B102" s="14" t="n">
        <v>46372.5034722222</v>
      </c>
      <c r="C102" s="7" t="s">
        <v>447</v>
      </c>
      <c r="D102" s="7" t="s">
        <v>447</v>
      </c>
      <c r="E102" s="7" t="s">
        <v>450</v>
      </c>
      <c r="F102" s="7" t="s">
        <v>248</v>
      </c>
      <c r="G102" s="7" t="str">
        <f aca="false">IFERROR(INDEX('Plan de comptes'!$B$5:$B$41,MATCH(F102,'Plan de comptes'!$A$5:$A$41,0)),"COMPTE INCONNU")</f>
        <v>Organisateur — frais du prestataire</v>
      </c>
      <c r="H102" s="16" t="n">
        <f aca="false">Paramètres!$C$18*Paramètres!$C$19</f>
        <v>3000</v>
      </c>
      <c r="I102" s="16"/>
      <c r="J102" s="7" t="str">
        <f aca="false">IFERROR(INDEX('Plan de comptes'!$D$5:$D$41,MATCH(F102,'Plan de comptes'!$A$5:$A$41,0)),"?")</f>
        <v>ORG</v>
      </c>
      <c r="K102" s="16" t="n">
        <f aca="false">SUMIFS($H$5:$H$500,$A$5:$A$500,A102)-SUMIFS($I$5:$I$500,$A$5:$A$500,A102)</f>
        <v>0</v>
      </c>
      <c r="L102" s="7" t="s">
        <v>352</v>
      </c>
      <c r="M102" s="7" t="s">
        <v>449</v>
      </c>
      <c r="N102" s="16" t="n">
        <f aca="false">SUMIFS($H$5:H102,$F$5:F102,F102)-SUMIFS($I$5:I102,$F$5:F102,F102)</f>
        <v>6000</v>
      </c>
    </row>
    <row r="103" customFormat="false" ht="15" hidden="false" customHeight="false" outlineLevel="0" collapsed="false">
      <c r="A103" s="13" t="n">
        <v>31</v>
      </c>
      <c r="B103" s="14" t="n">
        <v>46372.5034722222</v>
      </c>
      <c r="C103" s="7" t="s">
        <v>447</v>
      </c>
      <c r="D103" s="7" t="s">
        <v>447</v>
      </c>
      <c r="E103" s="7" t="s">
        <v>451</v>
      </c>
      <c r="F103" s="7" t="s">
        <v>260</v>
      </c>
      <c r="G103" s="7" t="str">
        <f aca="false">IFERROR(INDEX('Plan de comptes'!$B$5:$B$41,MATCH(F103,'Plan de comptes'!$A$5:$A$41,0)),"COMPTE INCONNU")</f>
        <v>Prestataire — frais facturés</v>
      </c>
      <c r="H103" s="16"/>
      <c r="I103" s="16" t="n">
        <f aca="false">(H101+H102)-ROUND((H101+H102)*Paramètres!$C$21/(1+Paramètres!$C$21),0)</f>
        <v>5085</v>
      </c>
      <c r="J103" s="7" t="str">
        <f aca="false">IFERROR(INDEX('Plan de comptes'!$D$5:$D$41,MATCH(F103,'Plan de comptes'!$A$5:$A$41,0)),"?")</f>
        <v>OPE</v>
      </c>
      <c r="K103" s="16" t="n">
        <f aca="false">SUMIFS($H$5:$H$500,$A$5:$A$500,A103)-SUMIFS($I$5:$I$500,$A$5:$A$500,A103)</f>
        <v>0</v>
      </c>
      <c r="L103" s="7" t="s">
        <v>352</v>
      </c>
      <c r="M103" s="7" t="s">
        <v>449</v>
      </c>
      <c r="N103" s="16" t="n">
        <f aca="false">SUMIFS($H$5:H103,$F$5:F103,F103)-SUMIFS($I$5:I103,$F$5:F103,F103)</f>
        <v>-5085</v>
      </c>
    </row>
    <row r="104" customFormat="false" ht="15" hidden="false" customHeight="false" outlineLevel="0" collapsed="false">
      <c r="A104" s="17" t="n">
        <v>31</v>
      </c>
      <c r="B104" s="18" t="n">
        <v>46372.5034722222</v>
      </c>
      <c r="C104" s="19" t="s">
        <v>447</v>
      </c>
      <c r="D104" s="19" t="s">
        <v>447</v>
      </c>
      <c r="E104" s="19" t="s">
        <v>452</v>
      </c>
      <c r="F104" s="19" t="s">
        <v>264</v>
      </c>
      <c r="G104" s="19" t="str">
        <f aca="false">IFERROR(INDEX('Plan de comptes'!$B$5:$B$41,MATCH(F104,'Plan de comptes'!$A$5:$A$41,0)),"COMPTE INCONNU")</f>
        <v>Prestataire — taxe collectée</v>
      </c>
      <c r="H104" s="20"/>
      <c r="I104" s="20" t="n">
        <f aca="false">ROUND((H101+H102)*Paramètres!$C$21/(1+Paramètres!$C$21),0)</f>
        <v>915</v>
      </c>
      <c r="J104" s="19" t="str">
        <f aca="false">IFERROR(INDEX('Plan de comptes'!$D$5:$D$41,MATCH(F104,'Plan de comptes'!$A$5:$A$41,0)),"?")</f>
        <v>OPE</v>
      </c>
      <c r="K104" s="20" t="n">
        <f aca="false">SUMIFS($H$5:$H$500,$A$5:$A$500,A104)-SUMIFS($I$5:$I$500,$A$5:$A$500,A104)</f>
        <v>0</v>
      </c>
      <c r="L104" s="19" t="s">
        <v>352</v>
      </c>
      <c r="M104" s="19" t="s">
        <v>449</v>
      </c>
      <c r="N104" s="20" t="n">
        <f aca="false">SUMIFS($H$5:H104,$F$5:F104,F104)-SUMIFS($I$5:I104,$F$5:F104,F104)</f>
        <v>-915</v>
      </c>
    </row>
    <row r="105" customFormat="false" ht="15" hidden="false" customHeight="false" outlineLevel="0" collapsed="false">
      <c r="A105" s="13" t="n">
        <v>32</v>
      </c>
      <c r="B105" s="14" t="n">
        <v>46372.5069444445</v>
      </c>
      <c r="C105" s="7" t="s">
        <v>453</v>
      </c>
      <c r="D105" s="7" t="s">
        <v>454</v>
      </c>
      <c r="E105" s="7" t="s">
        <v>455</v>
      </c>
      <c r="F105" s="7" t="s">
        <v>272</v>
      </c>
      <c r="G105" s="7" t="str">
        <f aca="false">IFERROR(INDEX('Plan de comptes'!$B$5:$B$41,MATCH(F105,'Plan de comptes'!$A$5:$A$41,0)),"COMPTE INCONNU")</f>
        <v>Prestataire — redevance due à la plateforme</v>
      </c>
      <c r="H105" s="16" t="n">
        <f aca="false">ROUND(I103*Paramètres!$C$20,0)</f>
        <v>1017</v>
      </c>
      <c r="I105" s="16"/>
      <c r="J105" s="7" t="str">
        <f aca="false">IFERROR(INDEX('Plan de comptes'!$D$5:$D$41,MATCH(F105,'Plan de comptes'!$A$5:$A$41,0)),"?")</f>
        <v>OPE</v>
      </c>
      <c r="K105" s="16" t="n">
        <f aca="false">SUMIFS($H$5:$H$500,$A$5:$A$500,A105)-SUMIFS($I$5:$I$500,$A$5:$A$500,A105)</f>
        <v>0</v>
      </c>
      <c r="L105" s="7" t="s">
        <v>352</v>
      </c>
      <c r="M105" s="7" t="s">
        <v>456</v>
      </c>
      <c r="N105" s="16" t="n">
        <f aca="false">SUMIFS($H$5:H105,$F$5:F105,F105)-SUMIFS($I$5:I105,$F$5:F105,F105)</f>
        <v>1017</v>
      </c>
    </row>
    <row r="106" customFormat="false" ht="15" hidden="false" customHeight="false" outlineLevel="0" collapsed="false">
      <c r="A106" s="13" t="n">
        <v>32</v>
      </c>
      <c r="B106" s="14" t="n">
        <v>46372.5069444445</v>
      </c>
      <c r="C106" s="7" t="s">
        <v>453</v>
      </c>
      <c r="D106" s="7" t="s">
        <v>454</v>
      </c>
      <c r="E106" s="7" t="s">
        <v>457</v>
      </c>
      <c r="F106" s="7" t="s">
        <v>280</v>
      </c>
      <c r="G106" s="7" t="str">
        <f aca="false">IFERROR(INDEX('Plan de comptes'!$B$5:$B$41,MATCH(F106,'Plan de comptes'!$A$5:$A$41,0)),"COMPTE INCONNU")</f>
        <v>Plateforme — redevance</v>
      </c>
      <c r="H106" s="16"/>
      <c r="I106" s="16" t="n">
        <f aca="false">H105-ROUND(H105*Paramètres!$C$21/(1+Paramètres!$C$21),0)</f>
        <v>862</v>
      </c>
      <c r="J106" s="7" t="str">
        <f aca="false">IFERROR(INDEX('Plan de comptes'!$D$5:$D$41,MATCH(F106,'Plan de comptes'!$A$5:$A$41,0)),"?")</f>
        <v>PLT</v>
      </c>
      <c r="K106" s="16" t="n">
        <f aca="false">SUMIFS($H$5:$H$500,$A$5:$A$500,A106)-SUMIFS($I$5:$I$500,$A$5:$A$500,A106)</f>
        <v>0</v>
      </c>
      <c r="L106" s="7" t="s">
        <v>352</v>
      </c>
      <c r="M106" s="7" t="s">
        <v>456</v>
      </c>
      <c r="N106" s="16" t="n">
        <f aca="false">SUMIFS($H$5:H106,$F$5:F106,F106)-SUMIFS($I$5:I106,$F$5:F106,F106)</f>
        <v>-862</v>
      </c>
    </row>
    <row r="107" customFormat="false" ht="15" hidden="false" customHeight="false" outlineLevel="0" collapsed="false">
      <c r="A107" s="17" t="n">
        <v>32</v>
      </c>
      <c r="B107" s="18" t="n">
        <v>46372.5069444445</v>
      </c>
      <c r="C107" s="19" t="s">
        <v>453</v>
      </c>
      <c r="D107" s="19" t="s">
        <v>454</v>
      </c>
      <c r="E107" s="19" t="s">
        <v>458</v>
      </c>
      <c r="F107" s="19" t="s">
        <v>284</v>
      </c>
      <c r="G107" s="19" t="str">
        <f aca="false">IFERROR(INDEX('Plan de comptes'!$B$5:$B$41,MATCH(F107,'Plan de comptes'!$A$5:$A$41,0)),"COMPTE INCONNU")</f>
        <v>Plateforme — taxe collectée</v>
      </c>
      <c r="H107" s="20"/>
      <c r="I107" s="20" t="n">
        <f aca="false">ROUND(H105*Paramètres!$C$21/(1+Paramètres!$C$21),0)</f>
        <v>155</v>
      </c>
      <c r="J107" s="19" t="str">
        <f aca="false">IFERROR(INDEX('Plan de comptes'!$D$5:$D$41,MATCH(F107,'Plan de comptes'!$A$5:$A$41,0)),"?")</f>
        <v>PLT</v>
      </c>
      <c r="K107" s="20" t="n">
        <f aca="false">SUMIFS($H$5:$H$500,$A$5:$A$500,A107)-SUMIFS($I$5:$I$500,$A$5:$A$500,A107)</f>
        <v>0</v>
      </c>
      <c r="L107" s="19" t="s">
        <v>352</v>
      </c>
      <c r="M107" s="19" t="s">
        <v>456</v>
      </c>
      <c r="N107" s="20" t="n">
        <f aca="false">SUMIFS($H$5:H107,$F$5:F107,F107)-SUMIFS($I$5:I107,$F$5:F107,F107)</f>
        <v>-155</v>
      </c>
    </row>
    <row r="108" customFormat="false" ht="15" hidden="false" customHeight="false" outlineLevel="0" collapsed="false">
      <c r="A108" s="13" t="n">
        <v>33</v>
      </c>
      <c r="B108" s="14" t="n">
        <v>46376.4166666667</v>
      </c>
      <c r="C108" s="7" t="s">
        <v>459</v>
      </c>
      <c r="D108" s="7" t="s">
        <v>460</v>
      </c>
      <c r="E108" s="7" t="s">
        <v>461</v>
      </c>
      <c r="F108" s="7" t="s">
        <v>209</v>
      </c>
      <c r="G108" s="7" t="str">
        <f aca="false">IFERROR(INDEX('Plan de comptes'!$B$5:$B$41,MATCH(F108,'Plan de comptes'!$A$5:$A$41,0)),"COMPTE INCONNU")</f>
        <v>Commerçant externe — Food truck</v>
      </c>
      <c r="H108" s="16" t="n">
        <f aca="false">-(SUMIFS($H$5:$H$107,$F$5:$F$107,"L-MCH-FOOD")-SUMIFS($I$5:$I$107,$F$5:$F$107,"L-MCH-FOOD"))</f>
        <v>11400</v>
      </c>
      <c r="I108" s="16"/>
      <c r="J108" s="7" t="str">
        <f aca="false">IFERROR(INDEX('Plan de comptes'!$D$5:$D$41,MATCH(F108,'Plan de comptes'!$A$5:$A$41,0)),"?")</f>
        <v>FOOD</v>
      </c>
      <c r="K108" s="16" t="n">
        <f aca="false">SUMIFS($H$5:$H$500,$A$5:$A$500,A108)-SUMIFS($I$5:$I$500,$A$5:$A$500,A108)</f>
        <v>0</v>
      </c>
      <c r="L108" s="7" t="s">
        <v>352</v>
      </c>
      <c r="M108" s="7" t="s">
        <v>462</v>
      </c>
      <c r="N108" s="16" t="n">
        <f aca="false">SUMIFS($H$5:H108,$F$5:F108,F108)-SUMIFS($I$5:I108,$F$5:F108,F108)</f>
        <v>0</v>
      </c>
    </row>
    <row r="109" customFormat="false" ht="15" hidden="false" customHeight="false" outlineLevel="0" collapsed="false">
      <c r="A109" s="13" t="n">
        <v>33</v>
      </c>
      <c r="B109" s="14" t="n">
        <v>46376.4166666667</v>
      </c>
      <c r="C109" s="7" t="s">
        <v>459</v>
      </c>
      <c r="D109" s="7" t="s">
        <v>460</v>
      </c>
      <c r="E109" s="7" t="s">
        <v>463</v>
      </c>
      <c r="F109" s="7" t="s">
        <v>212</v>
      </c>
      <c r="G109" s="7" t="str">
        <f aca="false">IFERROR(INDEX('Plan de comptes'!$B$5:$B$41,MATCH(F109,'Plan de comptes'!$A$5:$A$41,0)),"COMPTE INCONNU")</f>
        <v>Commerçant externe — Tee-shirts</v>
      </c>
      <c r="H109" s="16" t="n">
        <f aca="false">-(SUMIFS($H$5:$H$107,$F$5:$F$107,"L-MCH-TEE")-SUMIFS($I$5:$I$107,$F$5:$F$107,"L-MCH-TEE"))</f>
        <v>8000</v>
      </c>
      <c r="I109" s="16"/>
      <c r="J109" s="7" t="str">
        <f aca="false">IFERROR(INDEX('Plan de comptes'!$D$5:$D$41,MATCH(F109,'Plan de comptes'!$A$5:$A$41,0)),"?")</f>
        <v>TEE</v>
      </c>
      <c r="K109" s="16" t="n">
        <f aca="false">SUMIFS($H$5:$H$500,$A$5:$A$500,A109)-SUMIFS($I$5:$I$500,$A$5:$A$500,A109)</f>
        <v>0</v>
      </c>
      <c r="L109" s="7" t="s">
        <v>352</v>
      </c>
      <c r="M109" s="7" t="s">
        <v>462</v>
      </c>
      <c r="N109" s="16" t="n">
        <f aca="false">SUMIFS($H$5:H109,$F$5:F109,F109)-SUMIFS($I$5:I109,$F$5:F109,F109)</f>
        <v>0</v>
      </c>
    </row>
    <row r="110" customFormat="false" ht="15" hidden="false" customHeight="false" outlineLevel="0" collapsed="false">
      <c r="A110" s="13" t="n">
        <v>33</v>
      </c>
      <c r="B110" s="14" t="n">
        <v>46376.4166666667</v>
      </c>
      <c r="C110" s="7" t="s">
        <v>459</v>
      </c>
      <c r="D110" s="7" t="s">
        <v>460</v>
      </c>
      <c r="E110" s="7" t="s">
        <v>464</v>
      </c>
      <c r="F110" s="7" t="s">
        <v>204</v>
      </c>
      <c r="G110" s="7" t="str">
        <f aca="false">IFERROR(INDEX('Plan de comptes'!$B$5:$B$41,MATCH(F110,'Plan de comptes'!$A$5:$A$41,0)),"COMPTE INCONNU")</f>
        <v>Commerçant interne — Bar de l'organisateur</v>
      </c>
      <c r="H110" s="16" t="n">
        <f aca="false">-(SUMIFS($H$5:$H$107,$F$5:$F$107,"L-MCH-BAR")-SUMIFS($I$5:$I$107,$F$5:$F$107,"L-MCH-BAR"))</f>
        <v>18500</v>
      </c>
      <c r="I110" s="16"/>
      <c r="J110" s="7" t="str">
        <f aca="false">IFERROR(INDEX('Plan de comptes'!$D$5:$D$41,MATCH(F110,'Plan de comptes'!$A$5:$A$41,0)),"?")</f>
        <v>BAR</v>
      </c>
      <c r="K110" s="16" t="n">
        <f aca="false">SUMIFS($H$5:$H$500,$A$5:$A$500,A110)-SUMIFS($I$5:$I$500,$A$5:$A$500,A110)</f>
        <v>0</v>
      </c>
      <c r="L110" s="7" t="s">
        <v>352</v>
      </c>
      <c r="M110" s="7" t="s">
        <v>462</v>
      </c>
      <c r="N110" s="16" t="n">
        <f aca="false">SUMIFS($H$5:H110,$F$5:F110,F110)-SUMIFS($I$5:I110,$F$5:F110,F110)</f>
        <v>0</v>
      </c>
    </row>
    <row r="111" customFormat="false" ht="15" hidden="false" customHeight="false" outlineLevel="0" collapsed="false">
      <c r="A111" s="13" t="n">
        <v>33</v>
      </c>
      <c r="B111" s="14" t="n">
        <v>46376.4166666667</v>
      </c>
      <c r="C111" s="7" t="s">
        <v>459</v>
      </c>
      <c r="D111" s="7" t="s">
        <v>460</v>
      </c>
      <c r="E111" s="7" t="s">
        <v>465</v>
      </c>
      <c r="F111" s="7" t="s">
        <v>276</v>
      </c>
      <c r="G111" s="7" t="str">
        <f aca="false">IFERROR(INDEX('Plan de comptes'!$B$5:$B$41,MATCH(F111,'Plan de comptes'!$A$5:$A$41,0)),"COMPTE INCONNU")</f>
        <v>Prestataire — versements reçus</v>
      </c>
      <c r="H111" s="16" t="n">
        <f aca="false">-(SUMIFS($H$5:$H$107,$F$5:$F$107,"L-OPE-FRAIS")-SUMIFS($I$5:$I$107,$F$5:$F$107,"L-OPE-FRAIS"))+-(SUMIFS($H$5:$H$107,$F$5:$F$107,"L-OPE-TVA")-SUMIFS($I$5:$I$107,$F$5:$F$107,"L-OPE-TVA"))+-(SUMIFS($H$5:$H$107,$F$5:$F$107,"L-OPE-REDEV")-SUMIFS($I$5:$I$107,$F$5:$F$107,"L-OPE-REDEV"))+-(SUMIFS($H$5:$H$107,$F$5:$F$107,"L-OPE-VERS")-SUMIFS($I$5:$I$107,$F$5:$F$107,"L-OPE-VERS"))</f>
        <v>4983</v>
      </c>
      <c r="I111" s="16"/>
      <c r="J111" s="7" t="str">
        <f aca="false">IFERROR(INDEX('Plan de comptes'!$D$5:$D$41,MATCH(F111,'Plan de comptes'!$A$5:$A$41,0)),"?")</f>
        <v>OPE</v>
      </c>
      <c r="K111" s="16" t="n">
        <f aca="false">SUMIFS($H$5:$H$500,$A$5:$A$500,A111)-SUMIFS($I$5:$I$500,$A$5:$A$500,A111)</f>
        <v>0</v>
      </c>
      <c r="L111" s="7" t="s">
        <v>352</v>
      </c>
      <c r="M111" s="7" t="s">
        <v>462</v>
      </c>
      <c r="N111" s="16" t="n">
        <f aca="false">SUMIFS($H$5:H111,$F$5:F111,F111)-SUMIFS($I$5:I111,$F$5:F111,F111)</f>
        <v>4983</v>
      </c>
    </row>
    <row r="112" customFormat="false" ht="15" hidden="false" customHeight="false" outlineLevel="0" collapsed="false">
      <c r="A112" s="13" t="n">
        <v>33</v>
      </c>
      <c r="B112" s="14" t="n">
        <v>46376.4166666667</v>
      </c>
      <c r="C112" s="7" t="s">
        <v>459</v>
      </c>
      <c r="D112" s="7" t="s">
        <v>460</v>
      </c>
      <c r="E112" s="7" t="s">
        <v>466</v>
      </c>
      <c r="F112" s="7" t="s">
        <v>288</v>
      </c>
      <c r="G112" s="7" t="str">
        <f aca="false">IFERROR(INDEX('Plan de comptes'!$B$5:$B$41,MATCH(F112,'Plan de comptes'!$A$5:$A$41,0)),"COMPTE INCONNU")</f>
        <v>Plateforme — versements reçus</v>
      </c>
      <c r="H112" s="16" t="n">
        <f aca="false">-(SUMIFS($H$5:$H$107,$F$5:$F$107,"L-PLT-REDEV")-SUMIFS($I$5:$I$107,$F$5:$F$107,"L-PLT-REDEV"))+-(SUMIFS($H$5:$H$107,$F$5:$F$107,"L-PLT-TVA")-SUMIFS($I$5:$I$107,$F$5:$F$107,"L-PLT-TVA"))+-(SUMIFS($H$5:$H$107,$F$5:$F$107,"L-PLT-VERS")-SUMIFS($I$5:$I$107,$F$5:$F$107,"L-PLT-VERS"))</f>
        <v>1017</v>
      </c>
      <c r="I112" s="16"/>
      <c r="J112" s="7" t="str">
        <f aca="false">IFERROR(INDEX('Plan de comptes'!$D$5:$D$41,MATCH(F112,'Plan de comptes'!$A$5:$A$41,0)),"?")</f>
        <v>PLT</v>
      </c>
      <c r="K112" s="16" t="n">
        <f aca="false">SUMIFS($H$5:$H$500,$A$5:$A$500,A112)-SUMIFS($I$5:$I$500,$A$5:$A$500,A112)</f>
        <v>0</v>
      </c>
      <c r="L112" s="7" t="s">
        <v>352</v>
      </c>
      <c r="M112" s="7" t="s">
        <v>462</v>
      </c>
      <c r="N112" s="16" t="n">
        <f aca="false">SUMIFS($H$5:H112,$F$5:F112,F112)-SUMIFS($I$5:I112,$F$5:F112,F112)</f>
        <v>1017</v>
      </c>
    </row>
    <row r="113" customFormat="false" ht="15" hidden="false" customHeight="false" outlineLevel="0" collapsed="false">
      <c r="A113" s="17" t="n">
        <v>33</v>
      </c>
      <c r="B113" s="18" t="n">
        <v>46376.4166666667</v>
      </c>
      <c r="C113" s="19" t="s">
        <v>459</v>
      </c>
      <c r="D113" s="19" t="s">
        <v>460</v>
      </c>
      <c r="E113" s="19" t="s">
        <v>467</v>
      </c>
      <c r="F113" s="19" t="s">
        <v>292</v>
      </c>
      <c r="G113" s="19" t="str">
        <f aca="false">IFERROR(INDEX('Plan de comptes'!$B$5:$B$41,MATCH(F113,'Plan de comptes'!$A$5:$A$41,0)),"COMPTE INCONNU")</f>
        <v>Versements en cours (initiés, non confirmés)</v>
      </c>
      <c r="H113" s="20"/>
      <c r="I113" s="20" t="n">
        <f aca="false">SUM(H108:H112)</f>
        <v>43900</v>
      </c>
      <c r="J113" s="19" t="str">
        <f aca="false">IFERROR(INDEX('Plan de comptes'!$D$5:$D$41,MATCH(F113,'Plan de comptes'!$A$5:$A$41,0)),"?")</f>
        <v>—</v>
      </c>
      <c r="K113" s="20" t="n">
        <f aca="false">SUMIFS($H$5:$H$500,$A$5:$A$500,A113)-SUMIFS($I$5:$I$500,$A$5:$A$500,A113)</f>
        <v>0</v>
      </c>
      <c r="L113" s="19" t="s">
        <v>352</v>
      </c>
      <c r="M113" s="19" t="s">
        <v>462</v>
      </c>
      <c r="N113" s="20" t="n">
        <f aca="false">SUMIFS($H$5:H113,$F$5:F113,F113)-SUMIFS($I$5:I113,$F$5:F113,F113)</f>
        <v>-43900</v>
      </c>
    </row>
    <row r="114" customFormat="false" ht="15" hidden="false" customHeight="false" outlineLevel="0" collapsed="false">
      <c r="A114" s="13" t="n">
        <v>34</v>
      </c>
      <c r="B114" s="14" t="n">
        <v>46376.4201388889</v>
      </c>
      <c r="C114" s="7" t="s">
        <v>468</v>
      </c>
      <c r="D114" s="7" t="s">
        <v>460</v>
      </c>
      <c r="E114" s="7" t="s">
        <v>469</v>
      </c>
      <c r="F114" s="7" t="s">
        <v>292</v>
      </c>
      <c r="G114" s="7" t="str">
        <f aca="false">IFERROR(INDEX('Plan de comptes'!$B$5:$B$41,MATCH(F114,'Plan de comptes'!$A$5:$A$41,0)),"COMPTE INCONNU")</f>
        <v>Versements en cours (initiés, non confirmés)</v>
      </c>
      <c r="H114" s="16" t="n">
        <f aca="false">H108</f>
        <v>11400</v>
      </c>
      <c r="I114" s="16"/>
      <c r="J114" s="7" t="str">
        <f aca="false">IFERROR(INDEX('Plan de comptes'!$D$5:$D$41,MATCH(F114,'Plan de comptes'!$A$5:$A$41,0)),"?")</f>
        <v>—</v>
      </c>
      <c r="K114" s="16" t="n">
        <f aca="false">SUMIFS($H$5:$H$500,$A$5:$A$500,A114)-SUMIFS($I$5:$I$500,$A$5:$A$500,A114)</f>
        <v>0</v>
      </c>
      <c r="L114" s="7" t="s">
        <v>318</v>
      </c>
      <c r="M114" s="7" t="s">
        <v>470</v>
      </c>
      <c r="N114" s="16" t="n">
        <f aca="false">SUMIFS($H$5:H114,$F$5:F114,F114)-SUMIFS($I$5:I114,$F$5:F114,F114)</f>
        <v>-32500</v>
      </c>
    </row>
    <row r="115" customFormat="false" ht="15" hidden="false" customHeight="false" outlineLevel="0" collapsed="false">
      <c r="A115" s="17" t="n">
        <v>34</v>
      </c>
      <c r="B115" s="18" t="n">
        <v>46376.4201388889</v>
      </c>
      <c r="C115" s="19" t="s">
        <v>468</v>
      </c>
      <c r="D115" s="19" t="s">
        <v>460</v>
      </c>
      <c r="E115" s="19" t="s">
        <v>469</v>
      </c>
      <c r="F115" s="19" t="s">
        <v>187</v>
      </c>
      <c r="G115" s="19" t="str">
        <f aca="false">IFERROR(INDEX('Plan de comptes'!$B$5:$B$41,MATCH(F115,'Plan de comptes'!$A$5:$A$41,0)),"COMPTE INCONNU")</f>
        <v>Banque — compte cantonné du pool</v>
      </c>
      <c r="H115" s="20"/>
      <c r="I115" s="20" t="n">
        <f aca="false">H114</f>
        <v>11400</v>
      </c>
      <c r="J115" s="19" t="str">
        <f aca="false">IFERROR(INDEX('Plan de comptes'!$D$5:$D$41,MATCH(F115,'Plan de comptes'!$A$5:$A$41,0)),"?")</f>
        <v>ORG</v>
      </c>
      <c r="K115" s="20" t="n">
        <f aca="false">SUMIFS($H$5:$H$500,$A$5:$A$500,A115)-SUMIFS($I$5:$I$500,$A$5:$A$500,A115)</f>
        <v>0</v>
      </c>
      <c r="L115" s="19" t="s">
        <v>318</v>
      </c>
      <c r="M115" s="19" t="s">
        <v>470</v>
      </c>
      <c r="N115" s="20" t="n">
        <f aca="false">SUMIFS($H$5:H115,$F$5:F115,F115)-SUMIFS($I$5:I115,$F$5:F115,F115)</f>
        <v>89225</v>
      </c>
    </row>
    <row r="116" customFormat="false" ht="15" hidden="false" customHeight="false" outlineLevel="0" collapsed="false">
      <c r="A116" s="13" t="n">
        <v>35</v>
      </c>
      <c r="B116" s="14" t="n">
        <v>46376.4208333333</v>
      </c>
      <c r="C116" s="7" t="s">
        <v>471</v>
      </c>
      <c r="D116" s="7" t="s">
        <v>471</v>
      </c>
      <c r="E116" s="7" t="s">
        <v>472</v>
      </c>
      <c r="F116" s="7" t="s">
        <v>292</v>
      </c>
      <c r="G116" s="7" t="str">
        <f aca="false">IFERROR(INDEX('Plan de comptes'!$B$5:$B$41,MATCH(F116,'Plan de comptes'!$A$5:$A$41,0)),"COMPTE INCONNU")</f>
        <v>Versements en cours (initiés, non confirmés)</v>
      </c>
      <c r="H116" s="16" t="n">
        <f aca="false">H109</f>
        <v>8000</v>
      </c>
      <c r="I116" s="16"/>
      <c r="J116" s="7" t="str">
        <f aca="false">IFERROR(INDEX('Plan de comptes'!$D$5:$D$41,MATCH(F116,'Plan de comptes'!$A$5:$A$41,0)),"?")</f>
        <v>—</v>
      </c>
      <c r="K116" s="16" t="n">
        <f aca="false">SUMIFS($H$5:$H$500,$A$5:$A$500,A116)-SUMIFS($I$5:$I$500,$A$5:$A$500,A116)</f>
        <v>0</v>
      </c>
      <c r="L116" s="7" t="s">
        <v>318</v>
      </c>
      <c r="M116" s="7" t="s">
        <v>473</v>
      </c>
      <c r="N116" s="16" t="n">
        <f aca="false">SUMIFS($H$5:H116,$F$5:F116,F116)-SUMIFS($I$5:I116,$F$5:F116,F116)</f>
        <v>-24500</v>
      </c>
    </row>
    <row r="117" customFormat="false" ht="15" hidden="false" customHeight="false" outlineLevel="0" collapsed="false">
      <c r="A117" s="17" t="n">
        <v>35</v>
      </c>
      <c r="B117" s="18" t="n">
        <v>46376.4208333333</v>
      </c>
      <c r="C117" s="19" t="s">
        <v>471</v>
      </c>
      <c r="D117" s="19" t="s">
        <v>471</v>
      </c>
      <c r="E117" s="19" t="s">
        <v>474</v>
      </c>
      <c r="F117" s="19" t="s">
        <v>212</v>
      </c>
      <c r="G117" s="19" t="str">
        <f aca="false">IFERROR(INDEX('Plan de comptes'!$B$5:$B$41,MATCH(F117,'Plan de comptes'!$A$5:$A$41,0)),"COMPTE INCONNU")</f>
        <v>Commerçant externe — Tee-shirts</v>
      </c>
      <c r="H117" s="20"/>
      <c r="I117" s="20" t="n">
        <f aca="false">H116</f>
        <v>8000</v>
      </c>
      <c r="J117" s="19" t="str">
        <f aca="false">IFERROR(INDEX('Plan de comptes'!$D$5:$D$41,MATCH(F117,'Plan de comptes'!$A$5:$A$41,0)),"?")</f>
        <v>TEE</v>
      </c>
      <c r="K117" s="20" t="n">
        <f aca="false">SUMIFS($H$5:$H$500,$A$5:$A$500,A117)-SUMIFS($I$5:$I$500,$A$5:$A$500,A117)</f>
        <v>0</v>
      </c>
      <c r="L117" s="19" t="s">
        <v>318</v>
      </c>
      <c r="M117" s="19" t="s">
        <v>473</v>
      </c>
      <c r="N117" s="20" t="n">
        <f aca="false">SUMIFS($H$5:H117,$F$5:F117,F117)-SUMIFS($I$5:I117,$F$5:F117,F117)</f>
        <v>-8000</v>
      </c>
    </row>
    <row r="118" customFormat="false" ht="15" hidden="false" customHeight="false" outlineLevel="0" collapsed="false">
      <c r="A118" s="13" t="n">
        <v>36</v>
      </c>
      <c r="B118" s="14" t="n">
        <v>46376.4215277778</v>
      </c>
      <c r="C118" s="7" t="s">
        <v>468</v>
      </c>
      <c r="D118" s="7" t="s">
        <v>460</v>
      </c>
      <c r="E118" s="7" t="s">
        <v>475</v>
      </c>
      <c r="F118" s="7" t="s">
        <v>292</v>
      </c>
      <c r="G118" s="7" t="str">
        <f aca="false">IFERROR(INDEX('Plan de comptes'!$B$5:$B$41,MATCH(F118,'Plan de comptes'!$A$5:$A$41,0)),"COMPTE INCONNU")</f>
        <v>Versements en cours (initiés, non confirmés)</v>
      </c>
      <c r="H118" s="16" t="n">
        <f aca="false">H110</f>
        <v>18500</v>
      </c>
      <c r="I118" s="16"/>
      <c r="J118" s="7" t="str">
        <f aca="false">IFERROR(INDEX('Plan de comptes'!$D$5:$D$41,MATCH(F118,'Plan de comptes'!$A$5:$A$41,0)),"?")</f>
        <v>—</v>
      </c>
      <c r="K118" s="16" t="n">
        <f aca="false">SUMIFS($H$5:$H$500,$A$5:$A$500,A118)-SUMIFS($I$5:$I$500,$A$5:$A$500,A118)</f>
        <v>0</v>
      </c>
      <c r="L118" s="7" t="s">
        <v>318</v>
      </c>
      <c r="M118" s="7" t="s">
        <v>476</v>
      </c>
      <c r="N118" s="16" t="n">
        <f aca="false">SUMIFS($H$5:H118,$F$5:F118,F118)-SUMIFS($I$5:I118,$F$5:F118,F118)</f>
        <v>-6000</v>
      </c>
    </row>
    <row r="119" customFormat="false" ht="15" hidden="false" customHeight="false" outlineLevel="0" collapsed="false">
      <c r="A119" s="17" t="n">
        <v>36</v>
      </c>
      <c r="B119" s="18" t="n">
        <v>46376.4215277778</v>
      </c>
      <c r="C119" s="19" t="s">
        <v>468</v>
      </c>
      <c r="D119" s="19" t="s">
        <v>460</v>
      </c>
      <c r="E119" s="19" t="s">
        <v>475</v>
      </c>
      <c r="F119" s="19" t="s">
        <v>187</v>
      </c>
      <c r="G119" s="19" t="str">
        <f aca="false">IFERROR(INDEX('Plan de comptes'!$B$5:$B$41,MATCH(F119,'Plan de comptes'!$A$5:$A$41,0)),"COMPTE INCONNU")</f>
        <v>Banque — compte cantonné du pool</v>
      </c>
      <c r="H119" s="20"/>
      <c r="I119" s="20" t="n">
        <f aca="false">H118</f>
        <v>18500</v>
      </c>
      <c r="J119" s="19" t="str">
        <f aca="false">IFERROR(INDEX('Plan de comptes'!$D$5:$D$41,MATCH(F119,'Plan de comptes'!$A$5:$A$41,0)),"?")</f>
        <v>ORG</v>
      </c>
      <c r="K119" s="20" t="n">
        <f aca="false">SUMIFS($H$5:$H$500,$A$5:$A$500,A119)-SUMIFS($I$5:$I$500,$A$5:$A$500,A119)</f>
        <v>0</v>
      </c>
      <c r="L119" s="19" t="s">
        <v>318</v>
      </c>
      <c r="M119" s="19" t="s">
        <v>476</v>
      </c>
      <c r="N119" s="20" t="n">
        <f aca="false">SUMIFS($H$5:H119,$F$5:F119,F119)-SUMIFS($I$5:I119,$F$5:F119,F119)</f>
        <v>70725</v>
      </c>
    </row>
    <row r="120" customFormat="false" ht="15" hidden="false" customHeight="false" outlineLevel="0" collapsed="false">
      <c r="A120" s="13" t="n">
        <v>37</v>
      </c>
      <c r="B120" s="14" t="n">
        <v>46376.4222222222</v>
      </c>
      <c r="C120" s="7" t="s">
        <v>468</v>
      </c>
      <c r="D120" s="7" t="s">
        <v>460</v>
      </c>
      <c r="E120" s="7" t="s">
        <v>477</v>
      </c>
      <c r="F120" s="7" t="s">
        <v>292</v>
      </c>
      <c r="G120" s="7" t="str">
        <f aca="false">IFERROR(INDEX('Plan de comptes'!$B$5:$B$41,MATCH(F120,'Plan de comptes'!$A$5:$A$41,0)),"COMPTE INCONNU")</f>
        <v>Versements en cours (initiés, non confirmés)</v>
      </c>
      <c r="H120" s="16" t="n">
        <f aca="false">H111</f>
        <v>4983</v>
      </c>
      <c r="I120" s="16"/>
      <c r="J120" s="7" t="str">
        <f aca="false">IFERROR(INDEX('Plan de comptes'!$D$5:$D$41,MATCH(F120,'Plan de comptes'!$A$5:$A$41,0)),"?")</f>
        <v>—</v>
      </c>
      <c r="K120" s="16" t="n">
        <f aca="false">SUMIFS($H$5:$H$500,$A$5:$A$500,A120)-SUMIFS($I$5:$I$500,$A$5:$A$500,A120)</f>
        <v>0</v>
      </c>
      <c r="L120" s="7" t="s">
        <v>318</v>
      </c>
      <c r="M120" s="7" t="s">
        <v>478</v>
      </c>
      <c r="N120" s="16" t="n">
        <f aca="false">SUMIFS($H$5:H120,$F$5:F120,F120)-SUMIFS($I$5:I120,$F$5:F120,F120)</f>
        <v>-1017</v>
      </c>
    </row>
    <row r="121" customFormat="false" ht="15" hidden="false" customHeight="false" outlineLevel="0" collapsed="false">
      <c r="A121" s="17" t="n">
        <v>37</v>
      </c>
      <c r="B121" s="18" t="n">
        <v>46376.4222222222</v>
      </c>
      <c r="C121" s="19" t="s">
        <v>468</v>
      </c>
      <c r="D121" s="19" t="s">
        <v>460</v>
      </c>
      <c r="E121" s="19" t="s">
        <v>477</v>
      </c>
      <c r="F121" s="19" t="s">
        <v>187</v>
      </c>
      <c r="G121" s="19" t="str">
        <f aca="false">IFERROR(INDEX('Plan de comptes'!$B$5:$B$41,MATCH(F121,'Plan de comptes'!$A$5:$A$41,0)),"COMPTE INCONNU")</f>
        <v>Banque — compte cantonné du pool</v>
      </c>
      <c r="H121" s="20"/>
      <c r="I121" s="20" t="n">
        <f aca="false">H120</f>
        <v>4983</v>
      </c>
      <c r="J121" s="19" t="str">
        <f aca="false">IFERROR(INDEX('Plan de comptes'!$D$5:$D$41,MATCH(F121,'Plan de comptes'!$A$5:$A$41,0)),"?")</f>
        <v>ORG</v>
      </c>
      <c r="K121" s="20" t="n">
        <f aca="false">SUMIFS($H$5:$H$500,$A$5:$A$500,A121)-SUMIFS($I$5:$I$500,$A$5:$A$500,A121)</f>
        <v>0</v>
      </c>
      <c r="L121" s="19" t="s">
        <v>318</v>
      </c>
      <c r="M121" s="19" t="s">
        <v>478</v>
      </c>
      <c r="N121" s="20" t="n">
        <f aca="false">SUMIFS($H$5:H121,$F$5:F121,F121)-SUMIFS($I$5:I121,$F$5:F121,F121)</f>
        <v>65742</v>
      </c>
    </row>
    <row r="122" customFormat="false" ht="15" hidden="false" customHeight="false" outlineLevel="0" collapsed="false">
      <c r="A122" s="13" t="n">
        <v>38</v>
      </c>
      <c r="B122" s="14" t="n">
        <v>46376.4229166667</v>
      </c>
      <c r="C122" s="7" t="s">
        <v>468</v>
      </c>
      <c r="D122" s="7" t="s">
        <v>460</v>
      </c>
      <c r="E122" s="7" t="s">
        <v>479</v>
      </c>
      <c r="F122" s="7" t="s">
        <v>292</v>
      </c>
      <c r="G122" s="7" t="str">
        <f aca="false">IFERROR(INDEX('Plan de comptes'!$B$5:$B$41,MATCH(F122,'Plan de comptes'!$A$5:$A$41,0)),"COMPTE INCONNU")</f>
        <v>Versements en cours (initiés, non confirmés)</v>
      </c>
      <c r="H122" s="16" t="n">
        <f aca="false">H112</f>
        <v>1017</v>
      </c>
      <c r="I122" s="16"/>
      <c r="J122" s="7" t="str">
        <f aca="false">IFERROR(INDEX('Plan de comptes'!$D$5:$D$41,MATCH(F122,'Plan de comptes'!$A$5:$A$41,0)),"?")</f>
        <v>—</v>
      </c>
      <c r="K122" s="16" t="n">
        <f aca="false">SUMIFS($H$5:$H$500,$A$5:$A$500,A122)-SUMIFS($I$5:$I$500,$A$5:$A$500,A122)</f>
        <v>0</v>
      </c>
      <c r="L122" s="7" t="s">
        <v>318</v>
      </c>
      <c r="M122" s="7" t="s">
        <v>480</v>
      </c>
      <c r="N122" s="16" t="n">
        <f aca="false">SUMIFS($H$5:H122,$F$5:F122,F122)-SUMIFS($I$5:I122,$F$5:F122,F122)</f>
        <v>0</v>
      </c>
    </row>
    <row r="123" customFormat="false" ht="15" hidden="false" customHeight="false" outlineLevel="0" collapsed="false">
      <c r="A123" s="17" t="n">
        <v>38</v>
      </c>
      <c r="B123" s="18" t="n">
        <v>46376.4229166667</v>
      </c>
      <c r="C123" s="19" t="s">
        <v>468</v>
      </c>
      <c r="D123" s="19" t="s">
        <v>460</v>
      </c>
      <c r="E123" s="19" t="s">
        <v>479</v>
      </c>
      <c r="F123" s="19" t="s">
        <v>187</v>
      </c>
      <c r="G123" s="19" t="str">
        <f aca="false">IFERROR(INDEX('Plan de comptes'!$B$5:$B$41,MATCH(F123,'Plan de comptes'!$A$5:$A$41,0)),"COMPTE INCONNU")</f>
        <v>Banque — compte cantonné du pool</v>
      </c>
      <c r="H123" s="20"/>
      <c r="I123" s="20" t="n">
        <f aca="false">H122</f>
        <v>1017</v>
      </c>
      <c r="J123" s="19" t="str">
        <f aca="false">IFERROR(INDEX('Plan de comptes'!$D$5:$D$41,MATCH(F123,'Plan de comptes'!$A$5:$A$41,0)),"?")</f>
        <v>ORG</v>
      </c>
      <c r="K123" s="20" t="n">
        <f aca="false">SUMIFS($H$5:$H$500,$A$5:$A$500,A123)-SUMIFS($I$5:$I$500,$A$5:$A$500,A123)</f>
        <v>0</v>
      </c>
      <c r="L123" s="19" t="s">
        <v>318</v>
      </c>
      <c r="M123" s="19" t="s">
        <v>480</v>
      </c>
      <c r="N123" s="20" t="n">
        <f aca="false">SUMIFS($H$5:H123,$F$5:F123,F123)-SUMIFS($I$5:I123,$F$5:F123,F123)</f>
        <v>64725</v>
      </c>
    </row>
    <row r="124" customFormat="false" ht="15" hidden="false" customHeight="false" outlineLevel="0" collapsed="false">
      <c r="A124" s="13" t="n">
        <v>39</v>
      </c>
      <c r="B124" s="14" t="n">
        <v>46378.375</v>
      </c>
      <c r="C124" s="7" t="s">
        <v>481</v>
      </c>
      <c r="D124" s="7" t="s">
        <v>460</v>
      </c>
      <c r="E124" s="7" t="s">
        <v>482</v>
      </c>
      <c r="F124" s="7" t="s">
        <v>212</v>
      </c>
      <c r="G124" s="7" t="str">
        <f aca="false">IFERROR(INDEX('Plan de comptes'!$B$5:$B$41,MATCH(F124,'Plan de comptes'!$A$5:$A$41,0)),"COMPTE INCONNU")</f>
        <v>Commerçant externe — Tee-shirts</v>
      </c>
      <c r="H124" s="16" t="n">
        <f aca="false">-(SUMIFS($H$5:$H$123,$F$5:$F$123,"L-MCH-TEE")-SUMIFS($I$5:$I$123,$F$5:$F$123,"L-MCH-TEE"))</f>
        <v>8000</v>
      </c>
      <c r="I124" s="16"/>
      <c r="J124" s="7" t="str">
        <f aca="false">IFERROR(INDEX('Plan de comptes'!$D$5:$D$41,MATCH(F124,'Plan de comptes'!$A$5:$A$41,0)),"?")</f>
        <v>TEE</v>
      </c>
      <c r="K124" s="16" t="n">
        <f aca="false">SUMIFS($H$5:$H$500,$A$5:$A$500,A124)-SUMIFS($I$5:$I$500,$A$5:$A$500,A124)</f>
        <v>0</v>
      </c>
      <c r="L124" s="7" t="s">
        <v>347</v>
      </c>
      <c r="M124" s="7" t="s">
        <v>483</v>
      </c>
      <c r="N124" s="16" t="n">
        <f aca="false">SUMIFS($H$5:H124,$F$5:F124,F124)-SUMIFS($I$5:I124,$F$5:F124,F124)</f>
        <v>0</v>
      </c>
    </row>
    <row r="125" customFormat="false" ht="15" hidden="false" customHeight="false" outlineLevel="0" collapsed="false">
      <c r="A125" s="17" t="n">
        <v>39</v>
      </c>
      <c r="B125" s="18" t="n">
        <v>46378.375</v>
      </c>
      <c r="C125" s="19" t="s">
        <v>481</v>
      </c>
      <c r="D125" s="19" t="s">
        <v>460</v>
      </c>
      <c r="E125" s="19" t="s">
        <v>484</v>
      </c>
      <c r="F125" s="19" t="s">
        <v>292</v>
      </c>
      <c r="G125" s="19" t="str">
        <f aca="false">IFERROR(INDEX('Plan de comptes'!$B$5:$B$41,MATCH(F125,'Plan de comptes'!$A$5:$A$41,0)),"COMPTE INCONNU")</f>
        <v>Versements en cours (initiés, non confirmés)</v>
      </c>
      <c r="H125" s="20"/>
      <c r="I125" s="20" t="n">
        <f aca="false">H124</f>
        <v>8000</v>
      </c>
      <c r="J125" s="19" t="str">
        <f aca="false">IFERROR(INDEX('Plan de comptes'!$D$5:$D$41,MATCH(F125,'Plan de comptes'!$A$5:$A$41,0)),"?")</f>
        <v>—</v>
      </c>
      <c r="K125" s="20" t="n">
        <f aca="false">SUMIFS($H$5:$H$500,$A$5:$A$500,A125)-SUMIFS($I$5:$I$500,$A$5:$A$500,A125)</f>
        <v>0</v>
      </c>
      <c r="L125" s="19" t="s">
        <v>347</v>
      </c>
      <c r="M125" s="19" t="s">
        <v>483</v>
      </c>
      <c r="N125" s="20" t="n">
        <f aca="false">SUMIFS($H$5:H125,$F$5:F125,F125)-SUMIFS($I$5:I125,$F$5:F125,F125)</f>
        <v>-8000</v>
      </c>
    </row>
    <row r="126" customFormat="false" ht="15" hidden="false" customHeight="false" outlineLevel="0" collapsed="false">
      <c r="A126" s="13" t="n">
        <v>40</v>
      </c>
      <c r="B126" s="14" t="n">
        <v>46378.3784722222</v>
      </c>
      <c r="C126" s="7" t="s">
        <v>468</v>
      </c>
      <c r="D126" s="7" t="s">
        <v>460</v>
      </c>
      <c r="E126" s="7" t="s">
        <v>485</v>
      </c>
      <c r="F126" s="7" t="s">
        <v>292</v>
      </c>
      <c r="G126" s="7" t="str">
        <f aca="false">IFERROR(INDEX('Plan de comptes'!$B$5:$B$41,MATCH(F126,'Plan de comptes'!$A$5:$A$41,0)),"COMPTE INCONNU")</f>
        <v>Versements en cours (initiés, non confirmés)</v>
      </c>
      <c r="H126" s="16" t="n">
        <f aca="false">H124</f>
        <v>8000</v>
      </c>
      <c r="I126" s="16"/>
      <c r="J126" s="7" t="str">
        <f aca="false">IFERROR(INDEX('Plan de comptes'!$D$5:$D$41,MATCH(F126,'Plan de comptes'!$A$5:$A$41,0)),"?")</f>
        <v>—</v>
      </c>
      <c r="K126" s="16" t="n">
        <f aca="false">SUMIFS($H$5:$H$500,$A$5:$A$500,A126)-SUMIFS($I$5:$I$500,$A$5:$A$500,A126)</f>
        <v>0</v>
      </c>
      <c r="L126" s="7" t="s">
        <v>318</v>
      </c>
      <c r="M126" s="7" t="s">
        <v>486</v>
      </c>
      <c r="N126" s="16" t="n">
        <f aca="false">SUMIFS($H$5:H126,$F$5:F126,F126)-SUMIFS($I$5:I126,$F$5:F126,F126)</f>
        <v>0</v>
      </c>
    </row>
    <row r="127" customFormat="false" ht="15" hidden="false" customHeight="false" outlineLevel="0" collapsed="false">
      <c r="A127" s="17" t="n">
        <v>40</v>
      </c>
      <c r="B127" s="18" t="n">
        <v>46378.3784722222</v>
      </c>
      <c r="C127" s="19" t="s">
        <v>468</v>
      </c>
      <c r="D127" s="19" t="s">
        <v>460</v>
      </c>
      <c r="E127" s="19" t="s">
        <v>485</v>
      </c>
      <c r="F127" s="19" t="s">
        <v>187</v>
      </c>
      <c r="G127" s="19" t="str">
        <f aca="false">IFERROR(INDEX('Plan de comptes'!$B$5:$B$41,MATCH(F127,'Plan de comptes'!$A$5:$A$41,0)),"COMPTE INCONNU")</f>
        <v>Banque — compte cantonné du pool</v>
      </c>
      <c r="H127" s="20"/>
      <c r="I127" s="20" t="n">
        <f aca="false">H126</f>
        <v>8000</v>
      </c>
      <c r="J127" s="19" t="str">
        <f aca="false">IFERROR(INDEX('Plan de comptes'!$D$5:$D$41,MATCH(F127,'Plan de comptes'!$A$5:$A$41,0)),"?")</f>
        <v>ORG</v>
      </c>
      <c r="K127" s="20" t="n">
        <f aca="false">SUMIFS($H$5:$H$500,$A$5:$A$500,A127)-SUMIFS($I$5:$I$500,$A$5:$A$500,A127)</f>
        <v>0</v>
      </c>
      <c r="L127" s="19" t="s">
        <v>318</v>
      </c>
      <c r="M127" s="19" t="s">
        <v>486</v>
      </c>
      <c r="N127" s="20" t="n">
        <f aca="false">SUMIFS($H$5:H127,$F$5:F127,F127)-SUMIFS($I$5:I127,$F$5:F127,F127)</f>
        <v>56725</v>
      </c>
    </row>
    <row r="128" customFormat="false" ht="15" hidden="false" customHeight="false" outlineLevel="0" collapsed="false">
      <c r="A128" s="13" t="n">
        <v>41</v>
      </c>
      <c r="B128" s="14" t="n">
        <v>46378.5833333333</v>
      </c>
      <c r="C128" s="7" t="s">
        <v>487</v>
      </c>
      <c r="D128" s="7" t="s">
        <v>350</v>
      </c>
      <c r="E128" s="7" t="s">
        <v>488</v>
      </c>
      <c r="F128" s="7" t="s">
        <v>141</v>
      </c>
      <c r="G128" s="7" t="str">
        <f aca="false">IFERROR(INDEX('Plan de comptes'!$B$5:$B$41,MATCH(F128,'Plan de comptes'!$A$5:$A$41,0)),"COMPTE INCONNU")</f>
        <v>Portefeuille W02 Moussa — crédits payés</v>
      </c>
      <c r="H128" s="16" t="n">
        <f aca="false">Paramètres!$C$11</f>
        <v>500</v>
      </c>
      <c r="I128" s="16"/>
      <c r="J128" s="7" t="str">
        <f aca="false">IFERROR(INDEX('Plan de comptes'!$D$5:$D$41,MATCH(F128,'Plan de comptes'!$A$5:$A$41,0)),"?")</f>
        <v>W02</v>
      </c>
      <c r="K128" s="16" t="n">
        <f aca="false">SUMIFS($H$5:$H$500,$A$5:$A$500,A128)-SUMIFS($I$5:$I$500,$A$5:$A$500,A128)</f>
        <v>0</v>
      </c>
      <c r="L128" s="7" t="s">
        <v>333</v>
      </c>
      <c r="M128" s="7" t="s">
        <v>489</v>
      </c>
      <c r="N128" s="16" t="n">
        <f aca="false">SUMIFS($H$5:H128,$F$5:F128,F128)-SUMIFS($I$5:I128,$F$5:F128,F128)</f>
        <v>-1500</v>
      </c>
    </row>
    <row r="129" customFormat="false" ht="15" hidden="false" customHeight="false" outlineLevel="0" collapsed="false">
      <c r="A129" s="13" t="n">
        <v>41</v>
      </c>
      <c r="B129" s="14" t="n">
        <v>46378.5833333333</v>
      </c>
      <c r="C129" s="7" t="s">
        <v>487</v>
      </c>
      <c r="D129" s="7" t="s">
        <v>350</v>
      </c>
      <c r="E129" s="7" t="s">
        <v>490</v>
      </c>
      <c r="F129" s="7" t="s">
        <v>221</v>
      </c>
      <c r="G129" s="7" t="str">
        <f aca="false">IFERROR(INDEX('Plan de comptes'!$B$5:$B$41,MATCH(F129,'Plan de comptes'!$A$5:$A$41,0)),"COMPTE INCONNU")</f>
        <v>Organisateur — frais festivaliers</v>
      </c>
      <c r="H129" s="16"/>
      <c r="I129" s="16" t="n">
        <f aca="false">H128-ROUND(H128*Paramètres!$C$21/(1+Paramètres!$C$21),0)</f>
        <v>424</v>
      </c>
      <c r="J129" s="7" t="str">
        <f aca="false">IFERROR(INDEX('Plan de comptes'!$D$5:$D$41,MATCH(F129,'Plan de comptes'!$A$5:$A$41,0)),"?")</f>
        <v>ORG</v>
      </c>
      <c r="K129" s="16" t="n">
        <f aca="false">SUMIFS($H$5:$H$500,$A$5:$A$500,A129)-SUMIFS($I$5:$I$500,$A$5:$A$500,A129)</f>
        <v>0</v>
      </c>
      <c r="L129" s="7" t="s">
        <v>333</v>
      </c>
      <c r="M129" s="7" t="s">
        <v>489</v>
      </c>
      <c r="N129" s="16" t="n">
        <f aca="false">SUMIFS($H$5:H129,$F$5:F129,F129)-SUMIFS($I$5:I129,$F$5:F129,F129)</f>
        <v>-4661</v>
      </c>
    </row>
    <row r="130" customFormat="false" ht="15" hidden="false" customHeight="false" outlineLevel="0" collapsed="false">
      <c r="A130" s="13" t="n">
        <v>41</v>
      </c>
      <c r="B130" s="14" t="n">
        <v>46378.5833333333</v>
      </c>
      <c r="C130" s="7" t="s">
        <v>487</v>
      </c>
      <c r="D130" s="7" t="s">
        <v>350</v>
      </c>
      <c r="E130" s="7" t="s">
        <v>491</v>
      </c>
      <c r="F130" s="7" t="s">
        <v>224</v>
      </c>
      <c r="G130" s="7" t="str">
        <f aca="false">IFERROR(INDEX('Plan de comptes'!$B$5:$B$41,MATCH(F130,'Plan de comptes'!$A$5:$A$41,0)),"COMPTE INCONNU")</f>
        <v>Organisateur — taxe collectée (à reverser à l'État)</v>
      </c>
      <c r="H130" s="16"/>
      <c r="I130" s="16" t="n">
        <f aca="false">ROUND(H128*Paramètres!$C$21/(1+Paramètres!$C$21),0)</f>
        <v>76</v>
      </c>
      <c r="J130" s="7" t="str">
        <f aca="false">IFERROR(INDEX('Plan de comptes'!$D$5:$D$41,MATCH(F130,'Plan de comptes'!$A$5:$A$41,0)),"?")</f>
        <v>ORG</v>
      </c>
      <c r="K130" s="16" t="n">
        <f aca="false">SUMIFS($H$5:$H$500,$A$5:$A$500,A130)-SUMIFS($I$5:$I$500,$A$5:$A$500,A130)</f>
        <v>0</v>
      </c>
      <c r="L130" s="7" t="s">
        <v>333</v>
      </c>
      <c r="M130" s="7" t="s">
        <v>489</v>
      </c>
      <c r="N130" s="16" t="n">
        <f aca="false">SUMIFS($H$5:H130,$F$5:F130,F130)-SUMIFS($I$5:I130,$F$5:F130,F130)</f>
        <v>-5508</v>
      </c>
    </row>
    <row r="131" customFormat="false" ht="15" hidden="false" customHeight="false" outlineLevel="0" collapsed="false">
      <c r="A131" s="13" t="n">
        <v>41</v>
      </c>
      <c r="B131" s="14" t="n">
        <v>46378.5833333333</v>
      </c>
      <c r="C131" s="7" t="s">
        <v>487</v>
      </c>
      <c r="D131" s="7" t="s">
        <v>487</v>
      </c>
      <c r="E131" s="7" t="s">
        <v>492</v>
      </c>
      <c r="F131" s="7" t="s">
        <v>141</v>
      </c>
      <c r="G131" s="7" t="str">
        <f aca="false">IFERROR(INDEX('Plan de comptes'!$B$5:$B$41,MATCH(F131,'Plan de comptes'!$A$5:$A$41,0)),"COMPTE INCONNU")</f>
        <v>Portefeuille W02 Moussa — crédits payés</v>
      </c>
      <c r="H131" s="16" t="n">
        <f aca="false">-(SUMIFS($H$5:$H$127,$F$5:$F$127,"L-WAL-W02-P")-SUMIFS($I$5:$I$127,$F$5:$F$127,"L-WAL-W02-P"))-H128</f>
        <v>1500</v>
      </c>
      <c r="I131" s="16"/>
      <c r="J131" s="7" t="str">
        <f aca="false">IFERROR(INDEX('Plan de comptes'!$D$5:$D$41,MATCH(F131,'Plan de comptes'!$A$5:$A$41,0)),"?")</f>
        <v>W02</v>
      </c>
      <c r="K131" s="16" t="n">
        <f aca="false">SUMIFS($H$5:$H$500,$A$5:$A$500,A131)-SUMIFS($I$5:$I$500,$A$5:$A$500,A131)</f>
        <v>0</v>
      </c>
      <c r="L131" s="7" t="s">
        <v>333</v>
      </c>
      <c r="M131" s="7" t="s">
        <v>489</v>
      </c>
      <c r="N131" s="16" t="n">
        <f aca="false">SUMIFS($H$5:H131,$F$5:F131,F131)-SUMIFS($I$5:I131,$F$5:F131,F131)</f>
        <v>0</v>
      </c>
    </row>
    <row r="132" customFormat="false" ht="15" hidden="false" customHeight="false" outlineLevel="0" collapsed="false">
      <c r="A132" s="17" t="n">
        <v>41</v>
      </c>
      <c r="B132" s="18" t="n">
        <v>46378.5833333333</v>
      </c>
      <c r="C132" s="19" t="s">
        <v>487</v>
      </c>
      <c r="D132" s="19" t="s">
        <v>487</v>
      </c>
      <c r="E132" s="19" t="s">
        <v>493</v>
      </c>
      <c r="F132" s="19" t="s">
        <v>187</v>
      </c>
      <c r="G132" s="19" t="str">
        <f aca="false">IFERROR(INDEX('Plan de comptes'!$B$5:$B$41,MATCH(F132,'Plan de comptes'!$A$5:$A$41,0)),"COMPTE INCONNU")</f>
        <v>Banque — compte cantonné du pool</v>
      </c>
      <c r="H132" s="20"/>
      <c r="I132" s="20" t="n">
        <f aca="false">H131</f>
        <v>1500</v>
      </c>
      <c r="J132" s="19" t="str">
        <f aca="false">IFERROR(INDEX('Plan de comptes'!$D$5:$D$41,MATCH(F132,'Plan de comptes'!$A$5:$A$41,0)),"?")</f>
        <v>ORG</v>
      </c>
      <c r="K132" s="20" t="n">
        <f aca="false">SUMIFS($H$5:$H$500,$A$5:$A$500,A132)-SUMIFS($I$5:$I$500,$A$5:$A$500,A132)</f>
        <v>0</v>
      </c>
      <c r="L132" s="19" t="s">
        <v>333</v>
      </c>
      <c r="M132" s="19" t="s">
        <v>489</v>
      </c>
      <c r="N132" s="20" t="n">
        <f aca="false">SUMIFS($H$5:H132,$F$5:F132,F132)-SUMIFS($I$5:I132,$F$5:F132,F132)</f>
        <v>55225</v>
      </c>
    </row>
    <row r="133" customFormat="false" ht="15" hidden="false" customHeight="false" outlineLevel="0" collapsed="false">
      <c r="A133" s="13" t="n">
        <v>42</v>
      </c>
      <c r="B133" s="14" t="n">
        <v>46392.4583333333</v>
      </c>
      <c r="C133" s="7" t="s">
        <v>487</v>
      </c>
      <c r="D133" s="7" t="s">
        <v>350</v>
      </c>
      <c r="E133" s="7" t="s">
        <v>494</v>
      </c>
      <c r="F133" s="7" t="s">
        <v>145</v>
      </c>
      <c r="G133" s="7" t="str">
        <f aca="false">IFERROR(INDEX('Plan de comptes'!$B$5:$B$41,MATCH(F133,'Plan de comptes'!$A$5:$A$41,0)),"COMPTE INCONNU")</f>
        <v>Portefeuille W03 Fatou — crédits payés</v>
      </c>
      <c r="H133" s="16" t="n">
        <f aca="false">Paramètres!$C$11</f>
        <v>500</v>
      </c>
      <c r="I133" s="16"/>
      <c r="J133" s="7" t="str">
        <f aca="false">IFERROR(INDEX('Plan de comptes'!$D$5:$D$41,MATCH(F133,'Plan de comptes'!$A$5:$A$41,0)),"?")</f>
        <v>W03</v>
      </c>
      <c r="K133" s="16" t="n">
        <f aca="false">SUMIFS($H$5:$H$500,$A$5:$A$500,A133)-SUMIFS($I$5:$I$500,$A$5:$A$500,A133)</f>
        <v>0</v>
      </c>
      <c r="L133" s="7" t="s">
        <v>333</v>
      </c>
      <c r="M133" s="7" t="s">
        <v>495</v>
      </c>
      <c r="N133" s="16" t="n">
        <f aca="false">SUMIFS($H$5:H133,$F$5:F133,F133)-SUMIFS($I$5:I133,$F$5:F133,F133)</f>
        <v>-12000</v>
      </c>
    </row>
    <row r="134" customFormat="false" ht="15" hidden="false" customHeight="false" outlineLevel="0" collapsed="false">
      <c r="A134" s="13" t="n">
        <v>42</v>
      </c>
      <c r="B134" s="14" t="n">
        <v>46392.4583333333</v>
      </c>
      <c r="C134" s="7" t="s">
        <v>487</v>
      </c>
      <c r="D134" s="7" t="s">
        <v>350</v>
      </c>
      <c r="E134" s="7" t="s">
        <v>496</v>
      </c>
      <c r="F134" s="7" t="s">
        <v>221</v>
      </c>
      <c r="G134" s="7" t="str">
        <f aca="false">IFERROR(INDEX('Plan de comptes'!$B$5:$B$41,MATCH(F134,'Plan de comptes'!$A$5:$A$41,0)),"COMPTE INCONNU")</f>
        <v>Organisateur — frais festivaliers</v>
      </c>
      <c r="H134" s="16"/>
      <c r="I134" s="16" t="n">
        <f aca="false">H133-ROUND(H133*Paramètres!$C$21/(1+Paramètres!$C$21),0)</f>
        <v>424</v>
      </c>
      <c r="J134" s="7" t="str">
        <f aca="false">IFERROR(INDEX('Plan de comptes'!$D$5:$D$41,MATCH(F134,'Plan de comptes'!$A$5:$A$41,0)),"?")</f>
        <v>ORG</v>
      </c>
      <c r="K134" s="16" t="n">
        <f aca="false">SUMIFS($H$5:$H$500,$A$5:$A$500,A134)-SUMIFS($I$5:$I$500,$A$5:$A$500,A134)</f>
        <v>0</v>
      </c>
      <c r="L134" s="7" t="s">
        <v>333</v>
      </c>
      <c r="M134" s="7" t="s">
        <v>495</v>
      </c>
      <c r="N134" s="16" t="n">
        <f aca="false">SUMIFS($H$5:H134,$F$5:F134,F134)-SUMIFS($I$5:I134,$F$5:F134,F134)</f>
        <v>-5085</v>
      </c>
    </row>
    <row r="135" customFormat="false" ht="15" hidden="false" customHeight="false" outlineLevel="0" collapsed="false">
      <c r="A135" s="13" t="n">
        <v>42</v>
      </c>
      <c r="B135" s="14" t="n">
        <v>46392.4583333333</v>
      </c>
      <c r="C135" s="7" t="s">
        <v>487</v>
      </c>
      <c r="D135" s="7" t="s">
        <v>350</v>
      </c>
      <c r="E135" s="7" t="s">
        <v>497</v>
      </c>
      <c r="F135" s="7" t="s">
        <v>224</v>
      </c>
      <c r="G135" s="7" t="str">
        <f aca="false">IFERROR(INDEX('Plan de comptes'!$B$5:$B$41,MATCH(F135,'Plan de comptes'!$A$5:$A$41,0)),"COMPTE INCONNU")</f>
        <v>Organisateur — taxe collectée (à reverser à l'État)</v>
      </c>
      <c r="H135" s="16"/>
      <c r="I135" s="16" t="n">
        <f aca="false">ROUND(H133*Paramètres!$C$21/(1+Paramètres!$C$21),0)</f>
        <v>76</v>
      </c>
      <c r="J135" s="7" t="str">
        <f aca="false">IFERROR(INDEX('Plan de comptes'!$D$5:$D$41,MATCH(F135,'Plan de comptes'!$A$5:$A$41,0)),"?")</f>
        <v>ORG</v>
      </c>
      <c r="K135" s="16" t="n">
        <f aca="false">SUMIFS($H$5:$H$500,$A$5:$A$500,A135)-SUMIFS($I$5:$I$500,$A$5:$A$500,A135)</f>
        <v>0</v>
      </c>
      <c r="L135" s="7" t="s">
        <v>333</v>
      </c>
      <c r="M135" s="7" t="s">
        <v>495</v>
      </c>
      <c r="N135" s="16" t="n">
        <f aca="false">SUMIFS($H$5:H135,$F$5:F135,F135)-SUMIFS($I$5:I135,$F$5:F135,F135)</f>
        <v>-5584</v>
      </c>
    </row>
    <row r="136" customFormat="false" ht="15" hidden="false" customHeight="false" outlineLevel="0" collapsed="false">
      <c r="A136" s="13" t="n">
        <v>42</v>
      </c>
      <c r="B136" s="14" t="n">
        <v>46392.4583333333</v>
      </c>
      <c r="C136" s="7" t="s">
        <v>487</v>
      </c>
      <c r="D136" s="7" t="s">
        <v>487</v>
      </c>
      <c r="E136" s="7" t="s">
        <v>498</v>
      </c>
      <c r="F136" s="7" t="s">
        <v>145</v>
      </c>
      <c r="G136" s="7" t="str">
        <f aca="false">IFERROR(INDEX('Plan de comptes'!$B$5:$B$41,MATCH(F136,'Plan de comptes'!$A$5:$A$41,0)),"COMPTE INCONNU")</f>
        <v>Portefeuille W03 Fatou — crédits payés</v>
      </c>
      <c r="H136" s="16" t="n">
        <f aca="false">-(SUMIFS($H$5:$H$132,$F$5:$F$132,"L-WAL-W03-P")-SUMIFS($I$5:$I$132,$F$5:$F$132,"L-WAL-W03-P"))-H133</f>
        <v>12000</v>
      </c>
      <c r="I136" s="16"/>
      <c r="J136" s="7" t="str">
        <f aca="false">IFERROR(INDEX('Plan de comptes'!$D$5:$D$41,MATCH(F136,'Plan de comptes'!$A$5:$A$41,0)),"?")</f>
        <v>W03</v>
      </c>
      <c r="K136" s="16" t="n">
        <f aca="false">SUMIFS($H$5:$H$500,$A$5:$A$500,A136)-SUMIFS($I$5:$I$500,$A$5:$A$500,A136)</f>
        <v>0</v>
      </c>
      <c r="L136" s="7" t="s">
        <v>333</v>
      </c>
      <c r="M136" s="7" t="s">
        <v>495</v>
      </c>
      <c r="N136" s="16" t="n">
        <f aca="false">SUMIFS($H$5:H136,$F$5:F136,F136)-SUMIFS($I$5:I136,$F$5:F136,F136)</f>
        <v>0</v>
      </c>
    </row>
    <row r="137" customFormat="false" ht="15" hidden="false" customHeight="false" outlineLevel="0" collapsed="false">
      <c r="A137" s="17" t="n">
        <v>42</v>
      </c>
      <c r="B137" s="18" t="n">
        <v>46392.4583333333</v>
      </c>
      <c r="C137" s="19" t="s">
        <v>487</v>
      </c>
      <c r="D137" s="19" t="s">
        <v>487</v>
      </c>
      <c r="E137" s="19" t="s">
        <v>499</v>
      </c>
      <c r="F137" s="19" t="s">
        <v>187</v>
      </c>
      <c r="G137" s="19" t="str">
        <f aca="false">IFERROR(INDEX('Plan de comptes'!$B$5:$B$41,MATCH(F137,'Plan de comptes'!$A$5:$A$41,0)),"COMPTE INCONNU")</f>
        <v>Banque — compte cantonné du pool</v>
      </c>
      <c r="H137" s="20"/>
      <c r="I137" s="20" t="n">
        <f aca="false">H136</f>
        <v>12000</v>
      </c>
      <c r="J137" s="19" t="str">
        <f aca="false">IFERROR(INDEX('Plan de comptes'!$D$5:$D$41,MATCH(F137,'Plan de comptes'!$A$5:$A$41,0)),"?")</f>
        <v>ORG</v>
      </c>
      <c r="K137" s="20" t="n">
        <f aca="false">SUMIFS($H$5:$H$500,$A$5:$A$500,A137)-SUMIFS($I$5:$I$500,$A$5:$A$500,A137)</f>
        <v>0</v>
      </c>
      <c r="L137" s="19" t="s">
        <v>333</v>
      </c>
      <c r="M137" s="19" t="s">
        <v>495</v>
      </c>
      <c r="N137" s="20" t="n">
        <f aca="false">SUMIFS($H$5:H137,$F$5:F137,F137)-SUMIFS($I$5:I137,$F$5:F137,F137)</f>
        <v>43225</v>
      </c>
    </row>
    <row r="138" customFormat="false" ht="15" hidden="false" customHeight="false" outlineLevel="0" collapsed="false">
      <c r="A138" s="13" t="n">
        <v>43</v>
      </c>
      <c r="B138" s="14" t="n">
        <v>46433</v>
      </c>
      <c r="C138" s="7" t="s">
        <v>500</v>
      </c>
      <c r="D138" s="7" t="s">
        <v>500</v>
      </c>
      <c r="E138" s="7" t="s">
        <v>501</v>
      </c>
      <c r="F138" s="7" t="s">
        <v>137</v>
      </c>
      <c r="G138" s="7" t="str">
        <f aca="false">IFERROR(INDEX('Plan de comptes'!$B$5:$B$41,MATCH(F138,'Plan de comptes'!$A$5:$A$41,0)),"COMPTE INCONNU")</f>
        <v>Portefeuille W01 Awa — crédits payés</v>
      </c>
      <c r="H138" s="16" t="n">
        <f aca="false">-(SUMIFS($H$5:$H$137,$F$5:$F$137,"L-WAL-W01-P")-SUMIFS($I$5:$I$137,$F$5:$F$137,"L-WAL-W01-P"))</f>
        <v>9000</v>
      </c>
      <c r="I138" s="16"/>
      <c r="J138" s="7" t="str">
        <f aca="false">IFERROR(INDEX('Plan de comptes'!$D$5:$D$41,MATCH(F138,'Plan de comptes'!$A$5:$A$41,0)),"?")</f>
        <v>W01</v>
      </c>
      <c r="K138" s="16" t="n">
        <f aca="false">SUMIFS($H$5:$H$500,$A$5:$A$500,A138)-SUMIFS($I$5:$I$500,$A$5:$A$500,A138)</f>
        <v>0</v>
      </c>
      <c r="L138" s="7" t="s">
        <v>352</v>
      </c>
      <c r="M138" s="7" t="s">
        <v>502</v>
      </c>
      <c r="N138" s="16" t="n">
        <f aca="false">SUMIFS($H$5:H138,$F$5:F138,F138)-SUMIFS($I$5:I138,$F$5:F138,F138)</f>
        <v>0</v>
      </c>
    </row>
    <row r="139" customFormat="false" ht="15" hidden="false" customHeight="false" outlineLevel="0" collapsed="false">
      <c r="A139" s="13" t="n">
        <v>43</v>
      </c>
      <c r="B139" s="14" t="n">
        <v>46433</v>
      </c>
      <c r="C139" s="7" t="s">
        <v>500</v>
      </c>
      <c r="D139" s="7" t="s">
        <v>500</v>
      </c>
      <c r="E139" s="7" t="s">
        <v>503</v>
      </c>
      <c r="F139" s="7" t="s">
        <v>153</v>
      </c>
      <c r="G139" s="7" t="str">
        <f aca="false">IFERROR(INDEX('Plan de comptes'!$B$5:$B$41,MATCH(F139,'Plan de comptes'!$A$5:$A$41,0)),"COMPTE INCONNU")</f>
        <v>Portefeuille W05 Aminata — crédits payés</v>
      </c>
      <c r="H139" s="16" t="n">
        <f aca="false">-(SUMIFS($H$5:$H$137,$F$5:$F$137,"L-WAL-W05-P")-SUMIFS($I$5:$I$137,$F$5:$F$137,"L-WAL-W05-P"))</f>
        <v>11000</v>
      </c>
      <c r="I139" s="16"/>
      <c r="J139" s="7" t="str">
        <f aca="false">IFERROR(INDEX('Plan de comptes'!$D$5:$D$41,MATCH(F139,'Plan de comptes'!$A$5:$A$41,0)),"?")</f>
        <v>W05</v>
      </c>
      <c r="K139" s="16" t="n">
        <f aca="false">SUMIFS($H$5:$H$500,$A$5:$A$500,A139)-SUMIFS($I$5:$I$500,$A$5:$A$500,A139)</f>
        <v>0</v>
      </c>
      <c r="L139" s="7" t="s">
        <v>352</v>
      </c>
      <c r="M139" s="7" t="s">
        <v>502</v>
      </c>
      <c r="N139" s="16" t="n">
        <f aca="false">SUMIFS($H$5:H139,$F$5:F139,F139)-SUMIFS($I$5:I139,$F$5:F139,F139)</f>
        <v>0</v>
      </c>
    </row>
    <row r="140" customFormat="false" ht="15" hidden="false" customHeight="false" outlineLevel="0" collapsed="false">
      <c r="A140" s="13" t="n">
        <v>43</v>
      </c>
      <c r="B140" s="14" t="n">
        <v>46433</v>
      </c>
      <c r="C140" s="7" t="s">
        <v>500</v>
      </c>
      <c r="D140" s="7" t="s">
        <v>500</v>
      </c>
      <c r="E140" s="7" t="s">
        <v>504</v>
      </c>
      <c r="F140" s="7" t="s">
        <v>228</v>
      </c>
      <c r="G140" s="7" t="str">
        <f aca="false">IFERROR(INDEX('Plan de comptes'!$B$5:$B$41,MATCH(F140,'Plan de comptes'!$A$5:$A$41,0)),"COMPTE INCONNU")</f>
        <v>Organisateur — casse (soldes non réclamés)</v>
      </c>
      <c r="H140" s="16"/>
      <c r="I140" s="16" t="n">
        <f aca="false">ROUND(SUM(H138:H139)*Paramètres!$C$22,0)</f>
        <v>16000</v>
      </c>
      <c r="J140" s="7" t="str">
        <f aca="false">IFERROR(INDEX('Plan de comptes'!$D$5:$D$41,MATCH(F140,'Plan de comptes'!$A$5:$A$41,0)),"?")</f>
        <v>ORG</v>
      </c>
      <c r="K140" s="16" t="n">
        <f aca="false">SUMIFS($H$5:$H$500,$A$5:$A$500,A140)-SUMIFS($I$5:$I$500,$A$5:$A$500,A140)</f>
        <v>0</v>
      </c>
      <c r="L140" s="7" t="s">
        <v>352</v>
      </c>
      <c r="M140" s="7" t="s">
        <v>502</v>
      </c>
      <c r="N140" s="16" t="n">
        <f aca="false">SUMIFS($H$5:H140,$F$5:F140,F140)-SUMIFS($I$5:I140,$F$5:F140,F140)</f>
        <v>-16000</v>
      </c>
    </row>
    <row r="141" customFormat="false" ht="15" hidden="false" customHeight="false" outlineLevel="0" collapsed="false">
      <c r="A141" s="17" t="n">
        <v>43</v>
      </c>
      <c r="B141" s="18" t="n">
        <v>46433</v>
      </c>
      <c r="C141" s="19" t="s">
        <v>500</v>
      </c>
      <c r="D141" s="19" t="s">
        <v>500</v>
      </c>
      <c r="E141" s="19" t="s">
        <v>505</v>
      </c>
      <c r="F141" s="19" t="s">
        <v>268</v>
      </c>
      <c r="G141" s="19" t="str">
        <f aca="false">IFERROR(INDEX('Plan de comptes'!$B$5:$B$41,MATCH(F141,'Plan de comptes'!$A$5:$A$41,0)),"COMPTE INCONNU")</f>
        <v>Prestataire — part de casse (contrat)</v>
      </c>
      <c r="H141" s="20"/>
      <c r="I141" s="20" t="n">
        <f aca="false">SUM(H138:H139)-I140</f>
        <v>4000</v>
      </c>
      <c r="J141" s="19" t="str">
        <f aca="false">IFERROR(INDEX('Plan de comptes'!$D$5:$D$41,MATCH(F141,'Plan de comptes'!$A$5:$A$41,0)),"?")</f>
        <v>OPE</v>
      </c>
      <c r="K141" s="20" t="n">
        <f aca="false">SUMIFS($H$5:$H$500,$A$5:$A$500,A141)-SUMIFS($I$5:$I$500,$A$5:$A$500,A141)</f>
        <v>0</v>
      </c>
      <c r="L141" s="19" t="s">
        <v>352</v>
      </c>
      <c r="M141" s="19" t="s">
        <v>502</v>
      </c>
      <c r="N141" s="20" t="n">
        <f aca="false">SUMIFS($H$5:H141,$F$5:F141,F141)-SUMIFS($I$5:I141,$F$5:F141,F141)</f>
        <v>-4000</v>
      </c>
    </row>
    <row r="142" customFormat="false" ht="15" hidden="false" customHeight="false" outlineLevel="0" collapsed="false">
      <c r="A142" s="13" t="n">
        <v>44</v>
      </c>
      <c r="B142" s="14" t="n">
        <v>46433.0013888889</v>
      </c>
      <c r="C142" s="7" t="s">
        <v>506</v>
      </c>
      <c r="D142" s="7" t="s">
        <v>335</v>
      </c>
      <c r="E142" s="7" t="s">
        <v>507</v>
      </c>
      <c r="F142" s="7" t="s">
        <v>232</v>
      </c>
      <c r="G142" s="7" t="str">
        <f aca="false">IFERROR(INDEX('Plan de comptes'!$B$5:$B$41,MATCH(F142,'Plan de comptes'!$A$5:$A$41,0)),"COMPTE INCONNU")</f>
        <v>Organisateur — cautions détenues (à rendre)</v>
      </c>
      <c r="H142" s="16" t="n">
        <f aca="false">-(SUMIFS($H$5:$H$141,$F$5:$F$141,"L-ORG-CAUTION")-SUMIFS($I$5:$I$141,$F$5:$F$141,"L-ORG-CAUTION"))</f>
        <v>2000</v>
      </c>
      <c r="I142" s="16"/>
      <c r="J142" s="7" t="str">
        <f aca="false">IFERROR(INDEX('Plan de comptes'!$D$5:$D$41,MATCH(F142,'Plan de comptes'!$A$5:$A$41,0)),"?")</f>
        <v>ORG</v>
      </c>
      <c r="K142" s="16" t="n">
        <f aca="false">SUMIFS($H$5:$H$500,$A$5:$A$500,A142)-SUMIFS($I$5:$I$500,$A$5:$A$500,A142)</f>
        <v>0</v>
      </c>
      <c r="L142" s="7" t="s">
        <v>352</v>
      </c>
      <c r="M142" s="7" t="s">
        <v>508</v>
      </c>
      <c r="N142" s="16" t="n">
        <f aca="false">SUMIFS($H$5:H142,$F$5:F142,F142)-SUMIFS($I$5:I142,$F$5:F142,F142)</f>
        <v>0</v>
      </c>
    </row>
    <row r="143" customFormat="false" ht="15" hidden="false" customHeight="false" outlineLevel="0" collapsed="false">
      <c r="A143" s="17" t="n">
        <v>44</v>
      </c>
      <c r="B143" s="18" t="n">
        <v>46433.0013888889</v>
      </c>
      <c r="C143" s="19" t="s">
        <v>506</v>
      </c>
      <c r="D143" s="19" t="s">
        <v>335</v>
      </c>
      <c r="E143" s="19" t="s">
        <v>509</v>
      </c>
      <c r="F143" s="19" t="s">
        <v>236</v>
      </c>
      <c r="G143" s="19" t="str">
        <f aca="false">IFERROR(INDEX('Plan de comptes'!$B$5:$B$41,MATCH(F143,'Plan de comptes'!$A$5:$A$41,0)),"COMPTE INCONNU")</f>
        <v>Organisateur — cautions acquises (bracelets non rendus)</v>
      </c>
      <c r="H143" s="20"/>
      <c r="I143" s="20" t="n">
        <f aca="false">H142</f>
        <v>2000</v>
      </c>
      <c r="J143" s="19" t="str">
        <f aca="false">IFERROR(INDEX('Plan de comptes'!$D$5:$D$41,MATCH(F143,'Plan de comptes'!$A$5:$A$41,0)),"?")</f>
        <v>ORG</v>
      </c>
      <c r="K143" s="20" t="n">
        <f aca="false">SUMIFS($H$5:$H$500,$A$5:$A$500,A143)-SUMIFS($I$5:$I$500,$A$5:$A$500,A143)</f>
        <v>0</v>
      </c>
      <c r="L143" s="19" t="s">
        <v>352</v>
      </c>
      <c r="M143" s="19" t="s">
        <v>508</v>
      </c>
      <c r="N143" s="20" t="n">
        <f aca="false">SUMIFS($H$5:H143,$F$5:F143,F143)-SUMIFS($I$5:I143,$F$5:F143,F143)</f>
        <v>-2000</v>
      </c>
    </row>
    <row r="144" customFormat="false" ht="15" hidden="false" customHeight="false" outlineLevel="0" collapsed="false">
      <c r="A144" s="13" t="n">
        <v>45</v>
      </c>
      <c r="B144" s="14" t="n">
        <v>46433.0034722222</v>
      </c>
      <c r="C144" s="7" t="s">
        <v>510</v>
      </c>
      <c r="D144" s="7" t="s">
        <v>345</v>
      </c>
      <c r="E144" s="7" t="s">
        <v>511</v>
      </c>
      <c r="F144" s="7" t="s">
        <v>157</v>
      </c>
      <c r="G144" s="7" t="str">
        <f aca="false">IFERROR(INDEX('Plan de comptes'!$B$5:$B$41,MATCH(F144,'Plan de comptes'!$A$5:$A$41,0)),"COMPTE INCONNU")</f>
        <v>Portefeuille W06 Ibou — crédits offerts</v>
      </c>
      <c r="H144" s="16" t="n">
        <f aca="false">-(SUMIFS($H$5:$H$143,$F$5:$F$143,"L-WAL-W06-X")-SUMIFS($I$5:$I$143,$F$5:$F$143,"L-WAL-W06-X"))</f>
        <v>1000</v>
      </c>
      <c r="I144" s="16"/>
      <c r="J144" s="7" t="str">
        <f aca="false">IFERROR(INDEX('Plan de comptes'!$D$5:$D$41,MATCH(F144,'Plan de comptes'!$A$5:$A$41,0)),"?")</f>
        <v>W06</v>
      </c>
      <c r="K144" s="16" t="n">
        <f aca="false">SUMIFS($H$5:$H$500,$A$5:$A$500,A144)-SUMIFS($I$5:$I$500,$A$5:$A$500,A144)</f>
        <v>0</v>
      </c>
      <c r="L144" s="7" t="s">
        <v>352</v>
      </c>
      <c r="M144" s="7" t="s">
        <v>512</v>
      </c>
      <c r="N144" s="16" t="n">
        <f aca="false">SUMIFS($H$5:H144,$F$5:F144,F144)-SUMIFS($I$5:I144,$F$5:F144,F144)</f>
        <v>0</v>
      </c>
    </row>
    <row r="145" customFormat="false" ht="15" hidden="false" customHeight="false" outlineLevel="0" collapsed="false">
      <c r="A145" s="17" t="n">
        <v>45</v>
      </c>
      <c r="B145" s="18" t="n">
        <v>46433.0034722222</v>
      </c>
      <c r="C145" s="19" t="s">
        <v>510</v>
      </c>
      <c r="D145" s="19" t="s">
        <v>345</v>
      </c>
      <c r="E145" s="19" t="s">
        <v>513</v>
      </c>
      <c r="F145" s="19" t="s">
        <v>240</v>
      </c>
      <c r="G145" s="19" t="str">
        <f aca="false">IFERROR(INDEX('Plan de comptes'!$B$5:$B$41,MATCH(F145,'Plan de comptes'!$A$5:$A$41,0)),"COMPTE INCONNU")</f>
        <v>Organisateur — financement des crédits offerts</v>
      </c>
      <c r="H145" s="20"/>
      <c r="I145" s="20" t="n">
        <f aca="false">H144</f>
        <v>1000</v>
      </c>
      <c r="J145" s="19" t="str">
        <f aca="false">IFERROR(INDEX('Plan de comptes'!$D$5:$D$41,MATCH(F145,'Plan de comptes'!$A$5:$A$41,0)),"?")</f>
        <v>ORG</v>
      </c>
      <c r="K145" s="20" t="n">
        <f aca="false">SUMIFS($H$5:$H$500,$A$5:$A$500,A145)-SUMIFS($I$5:$I$500,$A$5:$A$500,A145)</f>
        <v>0</v>
      </c>
      <c r="L145" s="19" t="s">
        <v>352</v>
      </c>
      <c r="M145" s="19" t="s">
        <v>512</v>
      </c>
      <c r="N145" s="20" t="n">
        <f aca="false">SUMIFS($H$5:H145,$F$5:F145,F145)-SUMIFS($I$5:I145,$F$5:F145,F145)</f>
        <v>5000</v>
      </c>
    </row>
    <row r="146" customFormat="false" ht="15" hidden="false" customHeight="false" outlineLevel="0" collapsed="false">
      <c r="A146" s="13" t="n">
        <v>46</v>
      </c>
      <c r="B146" s="14" t="n">
        <v>46434.4166666667</v>
      </c>
      <c r="C146" s="7" t="s">
        <v>459</v>
      </c>
      <c r="D146" s="7" t="s">
        <v>460</v>
      </c>
      <c r="E146" s="7" t="s">
        <v>514</v>
      </c>
      <c r="F146" s="7" t="s">
        <v>256</v>
      </c>
      <c r="G146" s="7" t="str">
        <f aca="false">IFERROR(INDEX('Plan de comptes'!$B$5:$B$41,MATCH(F146,'Plan de comptes'!$A$5:$A$41,0)),"COMPTE INCONNU")</f>
        <v>Organisateur — versements reçus</v>
      </c>
      <c r="H146" s="16" t="n">
        <f aca="false">-(SUMIFS($H$5:$H$145,$F$5:$F$145,"L-ORG-COM")-SUMIFS($I$5:$I$145,$F$5:$F$145,"L-ORG-COM"))+-(SUMIFS($H$5:$H$145,$F$5:$F$145,"L-ORG-PLACE")-SUMIFS($I$5:$I$145,$F$5:$F$145,"L-ORG-PLACE"))+-(SUMIFS($H$5:$H$145,$F$5:$F$145,"L-ORG-FFEST")-SUMIFS($I$5:$I$145,$F$5:$F$145,"L-ORG-FFEST"))+-(SUMIFS($H$5:$H$145,$F$5:$F$145,"L-ORG-TVA")-SUMIFS($I$5:$I$145,$F$5:$F$145,"L-ORG-TVA"))+-(SUMIFS($H$5:$H$145,$F$5:$F$145,"L-ORG-CASSE")-SUMIFS($I$5:$I$145,$F$5:$F$145,"L-ORG-CASSE"))+-(SUMIFS($H$5:$H$145,$F$5:$F$145,"L-ORG-CAUTION")-SUMIFS($I$5:$I$145,$F$5:$F$145,"L-ORG-CAUTION"))+-(SUMIFS($H$5:$H$145,$F$5:$F$145,"L-ORG-CAUTION-ACQ")-SUMIFS($I$5:$I$145,$F$5:$F$145,"L-ORG-CAUTION-ACQ"))+-(SUMIFS($H$5:$H$145,$F$5:$F$145,"L-ORG-PROMO")-SUMIFS($I$5:$I$145,$F$5:$F$145,"L-ORG-PROMO"))+-(SUMIFS($H$5:$H$145,$F$5:$F$145,"L-ORG-FPSP")-SUMIFS($I$5:$I$145,$F$5:$F$145,"L-ORG-FPSP"))+-(SUMIFS($H$5:$H$145,$F$5:$F$145,"L-ORG-FPREST")-SUMIFS($I$5:$I$145,$F$5:$F$145,"L-ORG-FPREST"))+-(SUMIFS($H$5:$H$145,$F$5:$F$145,"L-ORG-PERTES")-SUMIFS($I$5:$I$145,$F$5:$F$145,"L-ORG-PERTES"))+-(SUMIFS($H$5:$H$145,$F$5:$F$145,"L-ORG-VERS")-SUMIFS($I$5:$I$145,$F$5:$F$145,"L-ORG-VERS"))</f>
        <v>39225</v>
      </c>
      <c r="I146" s="16"/>
      <c r="J146" s="7" t="str">
        <f aca="false">IFERROR(INDEX('Plan de comptes'!$D$5:$D$41,MATCH(F146,'Plan de comptes'!$A$5:$A$41,0)),"?")</f>
        <v>ORG</v>
      </c>
      <c r="K146" s="16" t="n">
        <f aca="false">SUMIFS($H$5:$H$500,$A$5:$A$500,A146)-SUMIFS($I$5:$I$500,$A$5:$A$500,A146)</f>
        <v>0</v>
      </c>
      <c r="L146" s="7" t="s">
        <v>352</v>
      </c>
      <c r="M146" s="7" t="s">
        <v>515</v>
      </c>
      <c r="N146" s="16" t="n">
        <f aca="false">SUMIFS($H$5:H146,$F$5:F146,F146)-SUMIFS($I$5:I146,$F$5:F146,F146)</f>
        <v>39225</v>
      </c>
    </row>
    <row r="147" customFormat="false" ht="15" hidden="false" customHeight="false" outlineLevel="0" collapsed="false">
      <c r="A147" s="13" t="n">
        <v>46</v>
      </c>
      <c r="B147" s="14" t="n">
        <v>46434.4166666667</v>
      </c>
      <c r="C147" s="7" t="s">
        <v>459</v>
      </c>
      <c r="D147" s="7" t="s">
        <v>460</v>
      </c>
      <c r="E147" s="7" t="s">
        <v>516</v>
      </c>
      <c r="F147" s="7" t="s">
        <v>276</v>
      </c>
      <c r="G147" s="7" t="str">
        <f aca="false">IFERROR(INDEX('Plan de comptes'!$B$5:$B$41,MATCH(F147,'Plan de comptes'!$A$5:$A$41,0)),"COMPTE INCONNU")</f>
        <v>Prestataire — versements reçus</v>
      </c>
      <c r="H147" s="16" t="n">
        <f aca="false">-(SUMIFS($H$5:$H$145,$F$5:$F$145,"L-OPE-FRAIS")-SUMIFS($I$5:$I$145,$F$5:$F$145,"L-OPE-FRAIS"))+-(SUMIFS($H$5:$H$145,$F$5:$F$145,"L-OPE-TVA")-SUMIFS($I$5:$I$145,$F$5:$F$145,"L-OPE-TVA"))+-(SUMIFS($H$5:$H$145,$F$5:$F$145,"L-OPE-REDEV")-SUMIFS($I$5:$I$145,$F$5:$F$145,"L-OPE-REDEV"))+-(SUMIFS($H$5:$H$145,$F$5:$F$145,"L-OPE-CASSE")-SUMIFS($I$5:$I$145,$F$5:$F$145,"L-OPE-CASSE"))+-(SUMIFS($H$5:$H$145,$F$5:$F$145,"L-OPE-VERS")-SUMIFS($I$5:$I$145,$F$5:$F$145,"L-OPE-VERS"))</f>
        <v>4000</v>
      </c>
      <c r="I147" s="16"/>
      <c r="J147" s="7" t="str">
        <f aca="false">IFERROR(INDEX('Plan de comptes'!$D$5:$D$41,MATCH(F147,'Plan de comptes'!$A$5:$A$41,0)),"?")</f>
        <v>OPE</v>
      </c>
      <c r="K147" s="16" t="n">
        <f aca="false">SUMIFS($H$5:$H$500,$A$5:$A$500,A147)-SUMIFS($I$5:$I$500,$A$5:$A$500,A147)</f>
        <v>0</v>
      </c>
      <c r="L147" s="7" t="s">
        <v>352</v>
      </c>
      <c r="M147" s="7" t="s">
        <v>515</v>
      </c>
      <c r="N147" s="16" t="n">
        <f aca="false">SUMIFS($H$5:H147,$F$5:F147,F147)-SUMIFS($I$5:I147,$F$5:F147,F147)</f>
        <v>8983</v>
      </c>
    </row>
    <row r="148" customFormat="false" ht="15" hidden="false" customHeight="false" outlineLevel="0" collapsed="false">
      <c r="A148" s="17" t="n">
        <v>46</v>
      </c>
      <c r="B148" s="18" t="n">
        <v>46434.4166666667</v>
      </c>
      <c r="C148" s="19" t="s">
        <v>459</v>
      </c>
      <c r="D148" s="19" t="s">
        <v>460</v>
      </c>
      <c r="E148" s="19" t="s">
        <v>517</v>
      </c>
      <c r="F148" s="19" t="s">
        <v>292</v>
      </c>
      <c r="G148" s="19" t="str">
        <f aca="false">IFERROR(INDEX('Plan de comptes'!$B$5:$B$41,MATCH(F148,'Plan de comptes'!$A$5:$A$41,0)),"COMPTE INCONNU")</f>
        <v>Versements en cours (initiés, non confirmés)</v>
      </c>
      <c r="H148" s="20"/>
      <c r="I148" s="20" t="n">
        <f aca="false">H146+H147</f>
        <v>43225</v>
      </c>
      <c r="J148" s="19" t="str">
        <f aca="false">IFERROR(INDEX('Plan de comptes'!$D$5:$D$41,MATCH(F148,'Plan de comptes'!$A$5:$A$41,0)),"?")</f>
        <v>—</v>
      </c>
      <c r="K148" s="20" t="n">
        <f aca="false">SUMIFS($H$5:$H$500,$A$5:$A$500,A148)-SUMIFS($I$5:$I$500,$A$5:$A$500,A148)</f>
        <v>0</v>
      </c>
      <c r="L148" s="19" t="s">
        <v>352</v>
      </c>
      <c r="M148" s="19" t="s">
        <v>515</v>
      </c>
      <c r="N148" s="20" t="n">
        <f aca="false">SUMIFS($H$5:H148,$F$5:F148,F148)-SUMIFS($I$5:I148,$F$5:F148,F148)</f>
        <v>-43225</v>
      </c>
    </row>
    <row r="149" customFormat="false" ht="15" hidden="false" customHeight="false" outlineLevel="0" collapsed="false">
      <c r="A149" s="13" t="n">
        <v>47</v>
      </c>
      <c r="B149" s="14" t="n">
        <v>46434.4201388889</v>
      </c>
      <c r="C149" s="7" t="s">
        <v>468</v>
      </c>
      <c r="D149" s="7" t="s">
        <v>460</v>
      </c>
      <c r="E149" s="7" t="s">
        <v>518</v>
      </c>
      <c r="F149" s="7" t="s">
        <v>292</v>
      </c>
      <c r="G149" s="7" t="str">
        <f aca="false">IFERROR(INDEX('Plan de comptes'!$B$5:$B$41,MATCH(F149,'Plan de comptes'!$A$5:$A$41,0)),"COMPTE INCONNU")</f>
        <v>Versements en cours (initiés, non confirmés)</v>
      </c>
      <c r="H149" s="16" t="n">
        <f aca="false">H146</f>
        <v>39225</v>
      </c>
      <c r="I149" s="16"/>
      <c r="J149" s="7" t="str">
        <f aca="false">IFERROR(INDEX('Plan de comptes'!$D$5:$D$41,MATCH(F149,'Plan de comptes'!$A$5:$A$41,0)),"?")</f>
        <v>—</v>
      </c>
      <c r="K149" s="16" t="n">
        <f aca="false">SUMIFS($H$5:$H$500,$A$5:$A$500,A149)-SUMIFS($I$5:$I$500,$A$5:$A$500,A149)</f>
        <v>0</v>
      </c>
      <c r="L149" s="7" t="s">
        <v>318</v>
      </c>
      <c r="M149" s="7" t="s">
        <v>519</v>
      </c>
      <c r="N149" s="16" t="n">
        <f aca="false">SUMIFS($H$5:H149,$F$5:F149,F149)-SUMIFS($I$5:I149,$F$5:F149,F149)</f>
        <v>-4000</v>
      </c>
    </row>
    <row r="150" customFormat="false" ht="15" hidden="false" customHeight="false" outlineLevel="0" collapsed="false">
      <c r="A150" s="17" t="n">
        <v>47</v>
      </c>
      <c r="B150" s="18" t="n">
        <v>46434.4201388889</v>
      </c>
      <c r="C150" s="19" t="s">
        <v>468</v>
      </c>
      <c r="D150" s="19" t="s">
        <v>460</v>
      </c>
      <c r="E150" s="19" t="s">
        <v>518</v>
      </c>
      <c r="F150" s="19" t="s">
        <v>187</v>
      </c>
      <c r="G150" s="19" t="str">
        <f aca="false">IFERROR(INDEX('Plan de comptes'!$B$5:$B$41,MATCH(F150,'Plan de comptes'!$A$5:$A$41,0)),"COMPTE INCONNU")</f>
        <v>Banque — compte cantonné du pool</v>
      </c>
      <c r="H150" s="20"/>
      <c r="I150" s="20" t="n">
        <f aca="false">H149</f>
        <v>39225</v>
      </c>
      <c r="J150" s="19" t="str">
        <f aca="false">IFERROR(INDEX('Plan de comptes'!$D$5:$D$41,MATCH(F150,'Plan de comptes'!$A$5:$A$41,0)),"?")</f>
        <v>ORG</v>
      </c>
      <c r="K150" s="20" t="n">
        <f aca="false">SUMIFS($H$5:$H$500,$A$5:$A$500,A150)-SUMIFS($I$5:$I$500,$A$5:$A$500,A150)</f>
        <v>0</v>
      </c>
      <c r="L150" s="19" t="s">
        <v>318</v>
      </c>
      <c r="M150" s="19" t="s">
        <v>519</v>
      </c>
      <c r="N150" s="20" t="n">
        <f aca="false">SUMIFS($H$5:H150,$F$5:F150,F150)-SUMIFS($I$5:I150,$F$5:F150,F150)</f>
        <v>4000</v>
      </c>
    </row>
    <row r="151" customFormat="false" ht="15" hidden="false" customHeight="false" outlineLevel="0" collapsed="false">
      <c r="A151" s="13" t="n">
        <v>48</v>
      </c>
      <c r="B151" s="14" t="n">
        <v>46434.4208333333</v>
      </c>
      <c r="C151" s="7" t="s">
        <v>468</v>
      </c>
      <c r="D151" s="7" t="s">
        <v>460</v>
      </c>
      <c r="E151" s="7" t="s">
        <v>520</v>
      </c>
      <c r="F151" s="7" t="s">
        <v>292</v>
      </c>
      <c r="G151" s="7" t="str">
        <f aca="false">IFERROR(INDEX('Plan de comptes'!$B$5:$B$41,MATCH(F151,'Plan de comptes'!$A$5:$A$41,0)),"COMPTE INCONNU")</f>
        <v>Versements en cours (initiés, non confirmés)</v>
      </c>
      <c r="H151" s="16" t="n">
        <f aca="false">H147</f>
        <v>4000</v>
      </c>
      <c r="I151" s="16"/>
      <c r="J151" s="7" t="str">
        <f aca="false">IFERROR(INDEX('Plan de comptes'!$D$5:$D$41,MATCH(F151,'Plan de comptes'!$A$5:$A$41,0)),"?")</f>
        <v>—</v>
      </c>
      <c r="K151" s="16" t="n">
        <f aca="false">SUMIFS($H$5:$H$500,$A$5:$A$500,A151)-SUMIFS($I$5:$I$500,$A$5:$A$500,A151)</f>
        <v>0</v>
      </c>
      <c r="L151" s="7" t="s">
        <v>318</v>
      </c>
      <c r="M151" s="7" t="s">
        <v>521</v>
      </c>
      <c r="N151" s="16" t="n">
        <f aca="false">SUMIFS($H$5:H151,$F$5:F151,F151)-SUMIFS($I$5:I151,$F$5:F151,F151)</f>
        <v>0</v>
      </c>
    </row>
    <row r="152" customFormat="false" ht="15" hidden="false" customHeight="false" outlineLevel="0" collapsed="false">
      <c r="A152" s="13" t="n">
        <v>48</v>
      </c>
      <c r="B152" s="14" t="n">
        <v>46434.4208333333</v>
      </c>
      <c r="C152" s="7" t="s">
        <v>468</v>
      </c>
      <c r="D152" s="7" t="s">
        <v>460</v>
      </c>
      <c r="E152" s="7" t="s">
        <v>520</v>
      </c>
      <c r="F152" s="7" t="s">
        <v>187</v>
      </c>
      <c r="G152" s="7" t="str">
        <f aca="false">IFERROR(INDEX('Plan de comptes'!$B$5:$B$41,MATCH(F152,'Plan de comptes'!$A$5:$A$41,0)),"COMPTE INCONNU")</f>
        <v>Banque — compte cantonné du pool</v>
      </c>
      <c r="H152" s="16"/>
      <c r="I152" s="16" t="n">
        <f aca="false">H151</f>
        <v>4000</v>
      </c>
      <c r="J152" s="7" t="str">
        <f aca="false">IFERROR(INDEX('Plan de comptes'!$D$5:$D$41,MATCH(F152,'Plan de comptes'!$A$5:$A$41,0)),"?")</f>
        <v>ORG</v>
      </c>
      <c r="K152" s="16" t="n">
        <f aca="false">SUMIFS($H$5:$H$500,$A$5:$A$500,A152)-SUMIFS($I$5:$I$500,$A$5:$A$500,A152)</f>
        <v>0</v>
      </c>
      <c r="L152" s="7" t="s">
        <v>318</v>
      </c>
      <c r="M152" s="7" t="s">
        <v>521</v>
      </c>
      <c r="N152" s="16" t="n">
        <f aca="false">SUMIFS($H$5:H152,$F$5:F152,F152)-SUMIFS($I$5:I152,$F$5:F152,F152)</f>
        <v>0</v>
      </c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5" hidden="false" customHeight="false" outlineLevel="0" collapsed="false">
      <c r="A154" s="2"/>
      <c r="B154" s="2"/>
      <c r="C154" s="2"/>
      <c r="D154" s="2"/>
      <c r="E154" s="3" t="s">
        <v>522</v>
      </c>
      <c r="F154" s="2"/>
      <c r="G154" s="2"/>
      <c r="H154" s="21" t="n">
        <f aca="false">SUM(H5:H152)</f>
        <v>604667</v>
      </c>
      <c r="I154" s="21" t="n">
        <f aca="false">SUM(I5:I152)</f>
        <v>604667</v>
      </c>
      <c r="J154" s="2"/>
      <c r="K154" s="2"/>
      <c r="L154" s="2"/>
      <c r="M154" s="2"/>
      <c r="N154" s="2"/>
    </row>
  </sheetData>
  <autoFilter ref="A4:N152"/>
  <conditionalFormatting sqref="M5:M152">
    <cfRule type="expression" priority="2" aboveAverage="0" equalAverage="0" bottom="0" percent="0" rank="0" text="" dxfId="4">
      <formula>AND(M5&lt;&gt;"",COUNTIFS($M$5:$M$152,M5,$A$5:$A$152,"&lt;&gt;"&amp;A5)&gt;0)</formula>
    </cfRule>
  </conditionalFormatting>
  <conditionalFormatting sqref="K5:K152">
    <cfRule type="cellIs" priority="3" operator="notEqual" aboveAverage="0" equalAverage="0" bottom="0" percent="0" rank="0" text="" dxfId="4">
      <formula>0</formula>
    </cfRule>
  </conditionalFormatting>
  <conditionalFormatting sqref="G5:G152">
    <cfRule type="cellIs" priority="4" operator="equal" aboveAverage="0" equalAverage="0" bottom="0" percent="0" rank="0" text="" dxfId="4">
      <formula>"COMPTE INCONNU"</formula>
    </cfRule>
  </conditionalFormatting>
  <dataValidations count="2">
    <dataValidation allowBlank="true" error="Choisir un code du plan de comptes." errorStyle="stop" errorTitle="Compte inconnu" operator="between" showDropDown="false" showErrorMessage="true" showInputMessage="false" sqref="F5:F500" type="list">
      <formula1>'Plan de comptes'!$A$5:$A$41</formula1>
      <formula2>0</formula2>
    </dataValidation>
    <dataValidation allowBlank="true" errorStyle="stop" operator="between" showDropDown="false" showErrorMessage="false" showInputMessage="false" sqref="L5:L500" type="list">
      <formula1>"ONLINE,OFFLINE_SYNC,PSP_WEBHOOK,BATCH,BACKOFFICE"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6" min="5" style="0" width="13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523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">
        <v>524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6" t="s">
        <v>525</v>
      </c>
      <c r="B4" s="6" t="s">
        <v>526</v>
      </c>
      <c r="C4" s="6" t="s">
        <v>305</v>
      </c>
      <c r="D4" s="6" t="s">
        <v>307</v>
      </c>
      <c r="E4" s="6" t="s">
        <v>527</v>
      </c>
      <c r="F4" s="6" t="s">
        <v>528</v>
      </c>
      <c r="G4" s="6" t="s">
        <v>529</v>
      </c>
    </row>
    <row r="5" customFormat="false" ht="15" hidden="false" customHeight="false" outlineLevel="0" collapsed="false">
      <c r="A5" s="22" t="s">
        <v>168</v>
      </c>
      <c r="B5" s="23"/>
      <c r="C5" s="23"/>
      <c r="D5" s="22" t="s">
        <v>169</v>
      </c>
      <c r="E5" s="23"/>
      <c r="F5" s="23"/>
      <c r="G5" s="23"/>
    </row>
    <row r="6" customFormat="false" ht="15" hidden="false" customHeight="false" outlineLevel="0" collapsed="false">
      <c r="A6" s="24" t="n">
        <f aca="false">Journal!A5</f>
        <v>1</v>
      </c>
      <c r="B6" s="25" t="n">
        <f aca="false">Journal!B5</f>
        <v>46357.425</v>
      </c>
      <c r="C6" s="26" t="str">
        <f aca="false">Journal!C5</f>
        <v>Recharge</v>
      </c>
      <c r="D6" s="26" t="str">
        <f aca="false">Journal!E5</f>
        <v>Recharge WAVE — Awa (prévente en ligne)</v>
      </c>
      <c r="E6" s="27" t="n">
        <f aca="false">N(Journal!H5)</f>
        <v>20000</v>
      </c>
      <c r="F6" s="27" t="n">
        <f aca="false">N(Journal!I5)</f>
        <v>0</v>
      </c>
      <c r="G6" s="16" t="n">
        <f aca="false">E6-F6</f>
        <v>20000</v>
      </c>
    </row>
    <row r="7" customFormat="false" ht="15" hidden="false" customHeight="false" outlineLevel="0" collapsed="false">
      <c r="A7" s="24" t="n">
        <f aca="false">Journal!A8</f>
        <v>1</v>
      </c>
      <c r="B7" s="25" t="n">
        <f aca="false">Journal!B8</f>
        <v>46357.425</v>
      </c>
      <c r="C7" s="26" t="str">
        <f aca="false">Journal!C8</f>
        <v>Recharge</v>
      </c>
      <c r="D7" s="26" t="str">
        <f aca="false">Journal!E8</f>
        <v>Commission WAVE déduite du versement</v>
      </c>
      <c r="E7" s="27" t="n">
        <f aca="false">N(Journal!H8)</f>
        <v>0</v>
      </c>
      <c r="F7" s="27" t="n">
        <f aca="false">N(Journal!I8)</f>
        <v>200</v>
      </c>
      <c r="G7" s="16" t="n">
        <f aca="false">G6+E7-F7</f>
        <v>19800</v>
      </c>
    </row>
    <row r="8" customFormat="false" ht="15" hidden="false" customHeight="false" outlineLevel="0" collapsed="false">
      <c r="A8" s="24" t="n">
        <f aca="false">Journal!A92</f>
        <v>27</v>
      </c>
      <c r="B8" s="25" t="n">
        <f aca="false">Journal!B92</f>
        <v>46371.5</v>
      </c>
      <c r="C8" s="26" t="str">
        <f aca="false">Journal!C92</f>
        <v>Versement PSP</v>
      </c>
      <c r="D8" s="26" t="str">
        <f aca="false">Journal!E92</f>
        <v>Versement net WAVE</v>
      </c>
      <c r="E8" s="27" t="n">
        <f aca="false">N(Journal!H92)</f>
        <v>0</v>
      </c>
      <c r="F8" s="27" t="n">
        <f aca="false">N(Journal!I92)</f>
        <v>19800</v>
      </c>
      <c r="G8" s="16" t="n">
        <f aca="false">G7+E8-F8</f>
        <v>0</v>
      </c>
    </row>
    <row r="9" customFormat="false" ht="15" hidden="false" customHeight="false" outlineLevel="0" collapsed="false">
      <c r="A9" s="2"/>
      <c r="B9" s="2"/>
      <c r="C9" s="2"/>
      <c r="D9" s="3" t="s">
        <v>530</v>
      </c>
      <c r="E9" s="21" t="n">
        <f aca="false">SUM(E6:E8)</f>
        <v>20000</v>
      </c>
      <c r="F9" s="21" t="n">
        <f aca="false">SUM(F6:F8)</f>
        <v>20000</v>
      </c>
      <c r="G9" s="21" t="n">
        <f aca="false">E9-F9</f>
        <v>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2" t="s">
        <v>175</v>
      </c>
      <c r="B11" s="23"/>
      <c r="C11" s="23"/>
      <c r="D11" s="22" t="s">
        <v>176</v>
      </c>
      <c r="E11" s="23"/>
      <c r="F11" s="23"/>
      <c r="G11" s="23"/>
    </row>
    <row r="12" customFormat="false" ht="15" hidden="false" customHeight="false" outlineLevel="0" collapsed="false">
      <c r="A12" s="24" t="n">
        <f aca="false">Journal!A9</f>
        <v>2</v>
      </c>
      <c r="B12" s="25" t="n">
        <f aca="false">Journal!B9</f>
        <v>46367.7118055556</v>
      </c>
      <c r="C12" s="26" t="str">
        <f aca="false">Journal!C9</f>
        <v>Recharge</v>
      </c>
      <c r="D12" s="26" t="str">
        <f aca="false">Journal!E9</f>
        <v>Recharge OM — Moussa</v>
      </c>
      <c r="E12" s="27" t="n">
        <f aca="false">N(Journal!H9)</f>
        <v>15000</v>
      </c>
      <c r="F12" s="27" t="n">
        <f aca="false">N(Journal!I9)</f>
        <v>0</v>
      </c>
      <c r="G12" s="16" t="n">
        <f aca="false">E12-F12</f>
        <v>15000</v>
      </c>
    </row>
    <row r="13" customFormat="false" ht="15" hidden="false" customHeight="false" outlineLevel="0" collapsed="false">
      <c r="A13" s="24" t="n">
        <f aca="false">Journal!A12</f>
        <v>2</v>
      </c>
      <c r="B13" s="25" t="n">
        <f aca="false">Journal!B12</f>
        <v>46367.7118055556</v>
      </c>
      <c r="C13" s="26" t="str">
        <f aca="false">Journal!C12</f>
        <v>Recharge</v>
      </c>
      <c r="D13" s="26" t="str">
        <f aca="false">Journal!E12</f>
        <v>Commission OM déduite du versement</v>
      </c>
      <c r="E13" s="27" t="n">
        <f aca="false">N(Journal!H12)</f>
        <v>0</v>
      </c>
      <c r="F13" s="27" t="n">
        <f aca="false">N(Journal!I12)</f>
        <v>225</v>
      </c>
      <c r="G13" s="16" t="n">
        <f aca="false">G12+E13-F13</f>
        <v>14775</v>
      </c>
    </row>
    <row r="14" customFormat="false" ht="15" hidden="false" customHeight="false" outlineLevel="0" collapsed="false">
      <c r="A14" s="24" t="n">
        <f aca="false">Journal!A94</f>
        <v>28</v>
      </c>
      <c r="B14" s="25" t="n">
        <f aca="false">Journal!B94</f>
        <v>46371.5034722222</v>
      </c>
      <c r="C14" s="26" t="str">
        <f aca="false">Journal!C94</f>
        <v>Versement PSP</v>
      </c>
      <c r="D14" s="26" t="str">
        <f aca="false">Journal!E94</f>
        <v>Versement net OM</v>
      </c>
      <c r="E14" s="27" t="n">
        <f aca="false">N(Journal!H94)</f>
        <v>0</v>
      </c>
      <c r="F14" s="27" t="n">
        <f aca="false">N(Journal!I94)</f>
        <v>14775</v>
      </c>
      <c r="G14" s="16" t="n">
        <f aca="false">G13+E14-F14</f>
        <v>0</v>
      </c>
    </row>
    <row r="15" customFormat="false" ht="15" hidden="false" customHeight="false" outlineLevel="0" collapsed="false">
      <c r="A15" s="2"/>
      <c r="B15" s="2"/>
      <c r="C15" s="2"/>
      <c r="D15" s="3" t="s">
        <v>531</v>
      </c>
      <c r="E15" s="21" t="n">
        <f aca="false">SUM(E12:E14)</f>
        <v>15000</v>
      </c>
      <c r="F15" s="21" t="n">
        <f aca="false">SUM(F12:F14)</f>
        <v>15000</v>
      </c>
      <c r="G15" s="21" t="n">
        <f aca="false">E15-F15</f>
        <v>0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22" t="s">
        <v>177</v>
      </c>
      <c r="B17" s="23"/>
      <c r="C17" s="23"/>
      <c r="D17" s="22" t="s">
        <v>178</v>
      </c>
      <c r="E17" s="23"/>
      <c r="F17" s="23"/>
      <c r="G17" s="23"/>
    </row>
    <row r="18" customFormat="false" ht="15" hidden="false" customHeight="false" outlineLevel="0" collapsed="false">
      <c r="A18" s="24" t="n">
        <f aca="false">Journal!A13</f>
        <v>3</v>
      </c>
      <c r="B18" s="25" t="n">
        <f aca="false">Journal!B13</f>
        <v>46367.7361111111</v>
      </c>
      <c r="C18" s="26" t="str">
        <f aca="false">Journal!C13</f>
        <v>Recharge</v>
      </c>
      <c r="D18" s="26" t="str">
        <f aca="false">Journal!E13</f>
        <v>Recharge CARTE — Fatou</v>
      </c>
      <c r="E18" s="27" t="n">
        <f aca="false">N(Journal!H13)</f>
        <v>30000</v>
      </c>
      <c r="F18" s="27" t="n">
        <f aca="false">N(Journal!I13)</f>
        <v>0</v>
      </c>
      <c r="G18" s="16" t="n">
        <f aca="false">E18-F18</f>
        <v>30000</v>
      </c>
    </row>
    <row r="19" customFormat="false" ht="15" hidden="false" customHeight="false" outlineLevel="0" collapsed="false">
      <c r="A19" s="24" t="n">
        <f aca="false">Journal!A16</f>
        <v>3</v>
      </c>
      <c r="B19" s="25" t="n">
        <f aca="false">Journal!B16</f>
        <v>46367.7361111111</v>
      </c>
      <c r="C19" s="26" t="str">
        <f aca="false">Journal!C16</f>
        <v>Recharge</v>
      </c>
      <c r="D19" s="26" t="str">
        <f aca="false">Journal!E16</f>
        <v>Commission CARTE déduite du versement</v>
      </c>
      <c r="E19" s="27" t="n">
        <f aca="false">N(Journal!H16)</f>
        <v>0</v>
      </c>
      <c r="F19" s="27" t="n">
        <f aca="false">N(Journal!I16)</f>
        <v>750</v>
      </c>
      <c r="G19" s="16" t="n">
        <f aca="false">G18+E19-F19</f>
        <v>29250</v>
      </c>
    </row>
    <row r="20" customFormat="false" ht="15" hidden="false" customHeight="false" outlineLevel="0" collapsed="false">
      <c r="A20" s="24" t="n">
        <f aca="false">Journal!A96</f>
        <v>29</v>
      </c>
      <c r="B20" s="25" t="n">
        <f aca="false">Journal!B96</f>
        <v>46372.375</v>
      </c>
      <c r="C20" s="26" t="str">
        <f aca="false">Journal!C96</f>
        <v>Versement PSP</v>
      </c>
      <c r="D20" s="26" t="str">
        <f aca="false">Journal!E96</f>
        <v>Versement net CARTE</v>
      </c>
      <c r="E20" s="27" t="n">
        <f aca="false">N(Journal!H96)</f>
        <v>0</v>
      </c>
      <c r="F20" s="27" t="n">
        <f aca="false">N(Journal!I96)</f>
        <v>29250</v>
      </c>
      <c r="G20" s="16" t="n">
        <f aca="false">G19+E20-F20</f>
        <v>0</v>
      </c>
    </row>
    <row r="21" customFormat="false" ht="15" hidden="false" customHeight="false" outlineLevel="0" collapsed="false">
      <c r="A21" s="2"/>
      <c r="B21" s="2"/>
      <c r="C21" s="2"/>
      <c r="D21" s="3" t="s">
        <v>532</v>
      </c>
      <c r="E21" s="21" t="n">
        <f aca="false">SUM(E18:E20)</f>
        <v>30000</v>
      </c>
      <c r="F21" s="21" t="n">
        <f aca="false">SUM(F18:F20)</f>
        <v>30000</v>
      </c>
      <c r="G21" s="21" t="n">
        <f aca="false">E21-F21</f>
        <v>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22" t="s">
        <v>179</v>
      </c>
      <c r="B23" s="23"/>
      <c r="C23" s="23"/>
      <c r="D23" s="22" t="s">
        <v>180</v>
      </c>
      <c r="E23" s="23"/>
      <c r="F23" s="23"/>
      <c r="G23" s="23"/>
    </row>
    <row r="24" customFormat="false" ht="15" hidden="false" customHeight="false" outlineLevel="0" collapsed="false">
      <c r="A24" s="24" t="n">
        <f aca="false">Journal!A17</f>
        <v>4</v>
      </c>
      <c r="B24" s="25" t="n">
        <f aca="false">Journal!B17</f>
        <v>46367.7513888889</v>
      </c>
      <c r="C24" s="26" t="str">
        <f aca="false">Journal!C17</f>
        <v>Recharge espèces</v>
      </c>
      <c r="D24" s="26" t="str">
        <f aca="false">Journal!E17</f>
        <v>Recharge espèces caisse C1 — Jean</v>
      </c>
      <c r="E24" s="27" t="n">
        <f aca="false">N(Journal!H17)</f>
        <v>10000</v>
      </c>
      <c r="F24" s="27" t="n">
        <f aca="false">N(Journal!I17)</f>
        <v>0</v>
      </c>
      <c r="G24" s="16" t="n">
        <f aca="false">E24-F24</f>
        <v>10000</v>
      </c>
    </row>
    <row r="25" customFormat="false" ht="15" hidden="false" customHeight="false" outlineLevel="0" collapsed="false">
      <c r="A25" s="24" t="n">
        <f aca="false">Journal!A19</f>
        <v>5</v>
      </c>
      <c r="B25" s="25" t="n">
        <f aca="false">Journal!B19</f>
        <v>46367.7520833333</v>
      </c>
      <c r="C25" s="26" t="str">
        <f aca="false">Journal!C19</f>
        <v>Caution</v>
      </c>
      <c r="D25" s="26" t="str">
        <f aca="false">Journal!E19</f>
        <v>Caution bracelet payée en espèces (mode D) — Jean</v>
      </c>
      <c r="E25" s="27" t="n">
        <f aca="false">N(Journal!H19)</f>
        <v>2000</v>
      </c>
      <c r="F25" s="27" t="n">
        <f aca="false">N(Journal!I19)</f>
        <v>0</v>
      </c>
      <c r="G25" s="16" t="n">
        <f aca="false">G24+E25-F25</f>
        <v>12000</v>
      </c>
    </row>
    <row r="26" customFormat="false" ht="15" hidden="false" customHeight="false" outlineLevel="0" collapsed="false">
      <c r="A26" s="24" t="n">
        <f aca="false">Journal!A21</f>
        <v>6</v>
      </c>
      <c r="B26" s="25" t="n">
        <f aca="false">Journal!B21</f>
        <v>46367.7604166667</v>
      </c>
      <c r="C26" s="26" t="str">
        <f aca="false">Journal!C21</f>
        <v>Recharge espèces</v>
      </c>
      <c r="D26" s="26" t="str">
        <f aca="false">Journal!E21</f>
        <v>Recharge espèces caisse C1 — Aminata</v>
      </c>
      <c r="E26" s="27" t="n">
        <f aca="false">N(Journal!H21)</f>
        <v>25000</v>
      </c>
      <c r="F26" s="27" t="n">
        <f aca="false">N(Journal!I21)</f>
        <v>0</v>
      </c>
      <c r="G26" s="16" t="n">
        <f aca="false">G25+E26-F26</f>
        <v>37000</v>
      </c>
    </row>
    <row r="27" customFormat="false" ht="15" hidden="false" customHeight="false" outlineLevel="0" collapsed="false">
      <c r="A27" s="24" t="n">
        <f aca="false">Journal!A86</f>
        <v>24</v>
      </c>
      <c r="B27" s="25" t="n">
        <f aca="false">Journal!B86</f>
        <v>46370.0416666667</v>
      </c>
      <c r="C27" s="26" t="str">
        <f aca="false">Journal!C86</f>
        <v>Fermeture caisse</v>
      </c>
      <c r="D27" s="26" t="str">
        <f aca="false">Journal!E86</f>
        <v>Solde théorique de la caisse C1</v>
      </c>
      <c r="E27" s="27" t="n">
        <f aca="false">N(Journal!H86)</f>
        <v>0</v>
      </c>
      <c r="F27" s="27" t="n">
        <f aca="false">N(Journal!I86)</f>
        <v>37000</v>
      </c>
      <c r="G27" s="16" t="n">
        <f aca="false">G26+E27-F27</f>
        <v>0</v>
      </c>
    </row>
    <row r="28" customFormat="false" ht="15" hidden="false" customHeight="false" outlineLevel="0" collapsed="false">
      <c r="A28" s="2"/>
      <c r="B28" s="2"/>
      <c r="C28" s="2"/>
      <c r="D28" s="3" t="s">
        <v>533</v>
      </c>
      <c r="E28" s="21" t="n">
        <f aca="false">SUM(E24:E27)</f>
        <v>37000</v>
      </c>
      <c r="F28" s="21" t="n">
        <f aca="false">SUM(F24:F27)</f>
        <v>37000</v>
      </c>
      <c r="G28" s="21" t="n">
        <f aca="false">E28-F28</f>
        <v>0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2" t="s">
        <v>183</v>
      </c>
      <c r="B30" s="23"/>
      <c r="C30" s="23"/>
      <c r="D30" s="22" t="s">
        <v>184</v>
      </c>
      <c r="E30" s="23"/>
      <c r="F30" s="23"/>
      <c r="G30" s="23"/>
    </row>
    <row r="31" customFormat="false" ht="15" hidden="false" customHeight="false" outlineLevel="0" collapsed="false">
      <c r="A31" s="24" t="n">
        <f aca="false">Journal!A84</f>
        <v>24</v>
      </c>
      <c r="B31" s="25" t="n">
        <f aca="false">Journal!B84</f>
        <v>46370.0416666667</v>
      </c>
      <c r="C31" s="26" t="str">
        <f aca="false">Journal!C84</f>
        <v>Fermeture caisse</v>
      </c>
      <c r="D31" s="26" t="str">
        <f aca="false">Journal!E84</f>
        <v>Espèces comptées, mises en transit</v>
      </c>
      <c r="E31" s="27" t="n">
        <f aca="false">N(Journal!H84)</f>
        <v>36800</v>
      </c>
      <c r="F31" s="27" t="n">
        <f aca="false">N(Journal!I84)</f>
        <v>0</v>
      </c>
      <c r="G31" s="16" t="n">
        <f aca="false">E31-F31</f>
        <v>36800</v>
      </c>
    </row>
    <row r="32" customFormat="false" ht="15" hidden="false" customHeight="false" outlineLevel="0" collapsed="false">
      <c r="A32" s="24" t="n">
        <f aca="false">Journal!A90</f>
        <v>26</v>
      </c>
      <c r="B32" s="25" t="n">
        <f aca="false">Journal!B90</f>
        <v>46371.375</v>
      </c>
      <c r="C32" s="26" t="str">
        <f aca="false">Journal!C90</f>
        <v>Dépôt espèces</v>
      </c>
      <c r="D32" s="26" t="str">
        <f aca="false">Journal!E90</f>
        <v>Dépôt des espèces en banque</v>
      </c>
      <c r="E32" s="27" t="n">
        <f aca="false">N(Journal!H90)</f>
        <v>0</v>
      </c>
      <c r="F32" s="27" t="n">
        <f aca="false">N(Journal!I90)</f>
        <v>36800</v>
      </c>
      <c r="G32" s="16" t="n">
        <f aca="false">G31+E32-F32</f>
        <v>0</v>
      </c>
    </row>
    <row r="33" customFormat="false" ht="15" hidden="false" customHeight="false" outlineLevel="0" collapsed="false">
      <c r="A33" s="2"/>
      <c r="B33" s="2"/>
      <c r="C33" s="2"/>
      <c r="D33" s="3" t="s">
        <v>534</v>
      </c>
      <c r="E33" s="21" t="n">
        <f aca="false">SUM(E31:E32)</f>
        <v>36800</v>
      </c>
      <c r="F33" s="21" t="n">
        <f aca="false">SUM(F31:F32)</f>
        <v>36800</v>
      </c>
      <c r="G33" s="21" t="n">
        <f aca="false">E33-F33</f>
        <v>0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2" t="s">
        <v>187</v>
      </c>
      <c r="B35" s="23"/>
      <c r="C35" s="23"/>
      <c r="D35" s="22" t="s">
        <v>188</v>
      </c>
      <c r="E35" s="23"/>
      <c r="F35" s="23"/>
      <c r="G35" s="23"/>
    </row>
    <row r="36" customFormat="false" ht="15" hidden="false" customHeight="false" outlineLevel="0" collapsed="false">
      <c r="A36" s="24" t="n">
        <f aca="false">Journal!A89</f>
        <v>26</v>
      </c>
      <c r="B36" s="25" t="n">
        <f aca="false">Journal!B89</f>
        <v>46371.375</v>
      </c>
      <c r="C36" s="26" t="str">
        <f aca="false">Journal!C89</f>
        <v>Dépôt espèces</v>
      </c>
      <c r="D36" s="26" t="str">
        <f aca="false">Journal!E89</f>
        <v>Dépôt des espèces en banque</v>
      </c>
      <c r="E36" s="27" t="n">
        <f aca="false">N(Journal!H89)</f>
        <v>36800</v>
      </c>
      <c r="F36" s="27" t="n">
        <f aca="false">N(Journal!I89)</f>
        <v>0</v>
      </c>
      <c r="G36" s="16" t="n">
        <f aca="false">E36-F36</f>
        <v>36800</v>
      </c>
    </row>
    <row r="37" customFormat="false" ht="15" hidden="false" customHeight="false" outlineLevel="0" collapsed="false">
      <c r="A37" s="24" t="n">
        <f aca="false">Journal!A91</f>
        <v>27</v>
      </c>
      <c r="B37" s="25" t="n">
        <f aca="false">Journal!B91</f>
        <v>46371.5</v>
      </c>
      <c r="C37" s="26" t="str">
        <f aca="false">Journal!C91</f>
        <v>Versement PSP</v>
      </c>
      <c r="D37" s="26" t="str">
        <f aca="false">Journal!E91</f>
        <v>Versement net WAVE (rapproché avec le relevé)</v>
      </c>
      <c r="E37" s="27" t="n">
        <f aca="false">N(Journal!H91)</f>
        <v>19800</v>
      </c>
      <c r="F37" s="27" t="n">
        <f aca="false">N(Journal!I91)</f>
        <v>0</v>
      </c>
      <c r="G37" s="16" t="n">
        <f aca="false">G36+E37-F37</f>
        <v>56600</v>
      </c>
    </row>
    <row r="38" customFormat="false" ht="15" hidden="false" customHeight="false" outlineLevel="0" collapsed="false">
      <c r="A38" s="24" t="n">
        <f aca="false">Journal!A93</f>
        <v>28</v>
      </c>
      <c r="B38" s="25" t="n">
        <f aca="false">Journal!B93</f>
        <v>46371.5034722222</v>
      </c>
      <c r="C38" s="26" t="str">
        <f aca="false">Journal!C93</f>
        <v>Versement PSP</v>
      </c>
      <c r="D38" s="26" t="str">
        <f aca="false">Journal!E93</f>
        <v>Versement net OM (rapproché avec le relevé)</v>
      </c>
      <c r="E38" s="27" t="n">
        <f aca="false">N(Journal!H93)</f>
        <v>14775</v>
      </c>
      <c r="F38" s="27" t="n">
        <f aca="false">N(Journal!I93)</f>
        <v>0</v>
      </c>
      <c r="G38" s="16" t="n">
        <f aca="false">G37+E38-F38</f>
        <v>71375</v>
      </c>
    </row>
    <row r="39" customFormat="false" ht="15" hidden="false" customHeight="false" outlineLevel="0" collapsed="false">
      <c r="A39" s="24" t="n">
        <f aca="false">Journal!A95</f>
        <v>29</v>
      </c>
      <c r="B39" s="25" t="n">
        <f aca="false">Journal!B95</f>
        <v>46372.375</v>
      </c>
      <c r="C39" s="26" t="str">
        <f aca="false">Journal!C95</f>
        <v>Versement PSP</v>
      </c>
      <c r="D39" s="26" t="str">
        <f aca="false">Journal!E95</f>
        <v>Versement net CARTE (rapproché avec le relevé)</v>
      </c>
      <c r="E39" s="27" t="n">
        <f aca="false">N(Journal!H95)</f>
        <v>29250</v>
      </c>
      <c r="F39" s="27" t="n">
        <f aca="false">N(Journal!I95)</f>
        <v>0</v>
      </c>
      <c r="G39" s="16" t="n">
        <f aca="false">G38+E39-F39</f>
        <v>100625</v>
      </c>
    </row>
    <row r="40" customFormat="false" ht="15" hidden="false" customHeight="false" outlineLevel="0" collapsed="false">
      <c r="A40" s="24" t="n">
        <f aca="false">Journal!A115</f>
        <v>34</v>
      </c>
      <c r="B40" s="25" t="n">
        <f aca="false">Journal!B115</f>
        <v>46376.4201388889</v>
      </c>
      <c r="C40" s="26" t="str">
        <f aca="false">Journal!C115</f>
        <v>Versement confirmé</v>
      </c>
      <c r="D40" s="26" t="str">
        <f aca="false">Journal!E115</f>
        <v>Versement confirmé — Food truck</v>
      </c>
      <c r="E40" s="27" t="n">
        <f aca="false">N(Journal!H115)</f>
        <v>0</v>
      </c>
      <c r="F40" s="27" t="n">
        <f aca="false">N(Journal!I115)</f>
        <v>11400</v>
      </c>
      <c r="G40" s="16" t="n">
        <f aca="false">G39+E40-F40</f>
        <v>89225</v>
      </c>
    </row>
    <row r="41" customFormat="false" ht="15" hidden="false" customHeight="false" outlineLevel="0" collapsed="false">
      <c r="A41" s="24" t="n">
        <f aca="false">Journal!A119</f>
        <v>36</v>
      </c>
      <c r="B41" s="25" t="n">
        <f aca="false">Journal!B119</f>
        <v>46376.4215277778</v>
      </c>
      <c r="C41" s="26" t="str">
        <f aca="false">Journal!C119</f>
        <v>Versement confirmé</v>
      </c>
      <c r="D41" s="26" t="str">
        <f aca="false">Journal!E119</f>
        <v>Versement confirmé — Bar interne → organisateur</v>
      </c>
      <c r="E41" s="27" t="n">
        <f aca="false">N(Journal!H119)</f>
        <v>0</v>
      </c>
      <c r="F41" s="27" t="n">
        <f aca="false">N(Journal!I119)</f>
        <v>18500</v>
      </c>
      <c r="G41" s="16" t="n">
        <f aca="false">G40+E41-F41</f>
        <v>70725</v>
      </c>
    </row>
    <row r="42" customFormat="false" ht="15" hidden="false" customHeight="false" outlineLevel="0" collapsed="false">
      <c r="A42" s="24" t="n">
        <f aca="false">Journal!A121</f>
        <v>37</v>
      </c>
      <c r="B42" s="25" t="n">
        <f aca="false">Journal!B121</f>
        <v>46376.4222222222</v>
      </c>
      <c r="C42" s="26" t="str">
        <f aca="false">Journal!C121</f>
        <v>Versement confirmé</v>
      </c>
      <c r="D42" s="26" t="str">
        <f aca="false">Journal!E121</f>
        <v>Versement confirmé — Prestataire</v>
      </c>
      <c r="E42" s="27" t="n">
        <f aca="false">N(Journal!H121)</f>
        <v>0</v>
      </c>
      <c r="F42" s="27" t="n">
        <f aca="false">N(Journal!I121)</f>
        <v>4983</v>
      </c>
      <c r="G42" s="16" t="n">
        <f aca="false">G41+E42-F42</f>
        <v>65742</v>
      </c>
    </row>
    <row r="43" customFormat="false" ht="15" hidden="false" customHeight="false" outlineLevel="0" collapsed="false">
      <c r="A43" s="24" t="n">
        <f aca="false">Journal!A123</f>
        <v>38</v>
      </c>
      <c r="B43" s="25" t="n">
        <f aca="false">Journal!B123</f>
        <v>46376.4229166667</v>
      </c>
      <c r="C43" s="26" t="str">
        <f aca="false">Journal!C123</f>
        <v>Versement confirmé</v>
      </c>
      <c r="D43" s="26" t="str">
        <f aca="false">Journal!E123</f>
        <v>Versement confirmé — Plateforme</v>
      </c>
      <c r="E43" s="27" t="n">
        <f aca="false">N(Journal!H123)</f>
        <v>0</v>
      </c>
      <c r="F43" s="27" t="n">
        <f aca="false">N(Journal!I123)</f>
        <v>1017</v>
      </c>
      <c r="G43" s="16" t="n">
        <f aca="false">G42+E43-F43</f>
        <v>64725</v>
      </c>
    </row>
    <row r="44" customFormat="false" ht="15" hidden="false" customHeight="false" outlineLevel="0" collapsed="false">
      <c r="A44" s="24" t="n">
        <f aca="false">Journal!A127</f>
        <v>40</v>
      </c>
      <c r="B44" s="25" t="n">
        <f aca="false">Journal!B127</f>
        <v>46378.3784722222</v>
      </c>
      <c r="C44" s="26" t="str">
        <f aca="false">Journal!C127</f>
        <v>Versement confirmé</v>
      </c>
      <c r="D44" s="26" t="str">
        <f aca="false">Journal!E127</f>
        <v>Versement confirmé — Tee-shirts</v>
      </c>
      <c r="E44" s="27" t="n">
        <f aca="false">N(Journal!H127)</f>
        <v>0</v>
      </c>
      <c r="F44" s="27" t="n">
        <f aca="false">N(Journal!I127)</f>
        <v>8000</v>
      </c>
      <c r="G44" s="16" t="n">
        <f aca="false">G43+E44-F44</f>
        <v>56725</v>
      </c>
    </row>
    <row r="45" customFormat="false" ht="15" hidden="false" customHeight="false" outlineLevel="0" collapsed="false">
      <c r="A45" s="24" t="n">
        <f aca="false">Journal!A132</f>
        <v>41</v>
      </c>
      <c r="B45" s="25" t="n">
        <f aca="false">Journal!B132</f>
        <v>46378.5833333333</v>
      </c>
      <c r="C45" s="26" t="str">
        <f aca="false">Journal!C132</f>
        <v>Remboursement</v>
      </c>
      <c r="D45" s="26" t="str">
        <f aca="false">Journal!E132</f>
        <v>Virement mobile money — Moussa</v>
      </c>
      <c r="E45" s="27" t="n">
        <f aca="false">N(Journal!H132)</f>
        <v>0</v>
      </c>
      <c r="F45" s="27" t="n">
        <f aca="false">N(Journal!I132)</f>
        <v>1500</v>
      </c>
      <c r="G45" s="16" t="n">
        <f aca="false">G44+E45-F45</f>
        <v>55225</v>
      </c>
    </row>
    <row r="46" customFormat="false" ht="15" hidden="false" customHeight="false" outlineLevel="0" collapsed="false">
      <c r="A46" s="24" t="n">
        <f aca="false">Journal!A137</f>
        <v>42</v>
      </c>
      <c r="B46" s="25" t="n">
        <f aca="false">Journal!B137</f>
        <v>46392.4583333333</v>
      </c>
      <c r="C46" s="26" t="str">
        <f aca="false">Journal!C137</f>
        <v>Remboursement</v>
      </c>
      <c r="D46" s="26" t="str">
        <f aca="false">Journal!E137</f>
        <v>Virement mobile money — Fatou</v>
      </c>
      <c r="E46" s="27" t="n">
        <f aca="false">N(Journal!H137)</f>
        <v>0</v>
      </c>
      <c r="F46" s="27" t="n">
        <f aca="false">N(Journal!I137)</f>
        <v>12000</v>
      </c>
      <c r="G46" s="16" t="n">
        <f aca="false">G45+E46-F46</f>
        <v>43225</v>
      </c>
    </row>
    <row r="47" customFormat="false" ht="15" hidden="false" customHeight="false" outlineLevel="0" collapsed="false">
      <c r="A47" s="24" t="n">
        <f aca="false">Journal!A150</f>
        <v>47</v>
      </c>
      <c r="B47" s="25" t="n">
        <f aca="false">Journal!B150</f>
        <v>46434.4201388889</v>
      </c>
      <c r="C47" s="26" t="str">
        <f aca="false">Journal!C150</f>
        <v>Versement confirmé</v>
      </c>
      <c r="D47" s="26" t="str">
        <f aca="false">Journal!E150</f>
        <v>Versement confirmé — organisateur</v>
      </c>
      <c r="E47" s="27" t="n">
        <f aca="false">N(Journal!H150)</f>
        <v>0</v>
      </c>
      <c r="F47" s="27" t="n">
        <f aca="false">N(Journal!I150)</f>
        <v>39225</v>
      </c>
      <c r="G47" s="16" t="n">
        <f aca="false">G46+E47-F47</f>
        <v>4000</v>
      </c>
    </row>
    <row r="48" customFormat="false" ht="15" hidden="false" customHeight="false" outlineLevel="0" collapsed="false">
      <c r="A48" s="24" t="n">
        <f aca="false">Journal!A152</f>
        <v>48</v>
      </c>
      <c r="B48" s="25" t="n">
        <f aca="false">Journal!B152</f>
        <v>46434.4208333333</v>
      </c>
      <c r="C48" s="26" t="str">
        <f aca="false">Journal!C152</f>
        <v>Versement confirmé</v>
      </c>
      <c r="D48" s="26" t="str">
        <f aca="false">Journal!E152</f>
        <v>Versement confirmé — prestataire</v>
      </c>
      <c r="E48" s="27" t="n">
        <f aca="false">N(Journal!H152)</f>
        <v>0</v>
      </c>
      <c r="F48" s="27" t="n">
        <f aca="false">N(Journal!I152)</f>
        <v>4000</v>
      </c>
      <c r="G48" s="16" t="n">
        <f aca="false">G47+E48-F48</f>
        <v>0</v>
      </c>
    </row>
    <row r="49" customFormat="false" ht="15" hidden="false" customHeight="false" outlineLevel="0" collapsed="false">
      <c r="A49" s="2"/>
      <c r="B49" s="2"/>
      <c r="C49" s="2"/>
      <c r="D49" s="3" t="s">
        <v>535</v>
      </c>
      <c r="E49" s="21" t="n">
        <f aca="false">SUM(E36:E48)</f>
        <v>100625</v>
      </c>
      <c r="F49" s="21" t="n">
        <f aca="false">SUM(F36:F48)</f>
        <v>100625</v>
      </c>
      <c r="G49" s="21" t="n">
        <f aca="false">E49-F49</f>
        <v>0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22" t="s">
        <v>137</v>
      </c>
      <c r="B51" s="23"/>
      <c r="C51" s="23"/>
      <c r="D51" s="22" t="s">
        <v>191</v>
      </c>
      <c r="E51" s="23"/>
      <c r="F51" s="23"/>
      <c r="G51" s="23"/>
    </row>
    <row r="52" customFormat="false" ht="15" hidden="false" customHeight="false" outlineLevel="0" collapsed="false">
      <c r="A52" s="24" t="n">
        <f aca="false">Journal!A6</f>
        <v>1</v>
      </c>
      <c r="B52" s="25" t="n">
        <f aca="false">Journal!B6</f>
        <v>46357.425</v>
      </c>
      <c r="C52" s="26" t="str">
        <f aca="false">Journal!C6</f>
        <v>Recharge</v>
      </c>
      <c r="D52" s="26" t="str">
        <f aca="false">Journal!E6</f>
        <v>Recharge WAVE — Awa (prévente en ligne)</v>
      </c>
      <c r="E52" s="27" t="n">
        <f aca="false">N(Journal!H6)</f>
        <v>0</v>
      </c>
      <c r="F52" s="27" t="n">
        <f aca="false">N(Journal!I6)</f>
        <v>20000</v>
      </c>
      <c r="G52" s="16" t="n">
        <f aca="false">E52-F52</f>
        <v>-20000</v>
      </c>
    </row>
    <row r="53" customFormat="false" ht="15" hidden="false" customHeight="false" outlineLevel="0" collapsed="false">
      <c r="A53" s="24" t="n">
        <f aca="false">Journal!A27</f>
        <v>9</v>
      </c>
      <c r="B53" s="25" t="n">
        <f aca="false">Journal!B27</f>
        <v>46367.7708333333</v>
      </c>
      <c r="C53" s="26" t="str">
        <f aca="false">Journal!C27</f>
        <v>Frais d'activation</v>
      </c>
      <c r="D53" s="26" t="str">
        <f aca="false">Journal!E27</f>
        <v>Frais d'activation bracelet W01</v>
      </c>
      <c r="E53" s="27" t="n">
        <f aca="false">N(Journal!H27)</f>
        <v>1000</v>
      </c>
      <c r="F53" s="27" t="n">
        <f aca="false">N(Journal!I27)</f>
        <v>0</v>
      </c>
      <c r="G53" s="16" t="n">
        <f aca="false">G52+E53-F53</f>
        <v>-19000</v>
      </c>
    </row>
    <row r="54" customFormat="false" ht="15" hidden="false" customHeight="false" outlineLevel="0" collapsed="false">
      <c r="A54" s="24" t="n">
        <f aca="false">Journal!A34</f>
        <v>10</v>
      </c>
      <c r="B54" s="25" t="n">
        <f aca="false">Journal!B34</f>
        <v>46367.7986111111</v>
      </c>
      <c r="C54" s="26" t="str">
        <f aca="false">Journal!C34</f>
        <v>Vente</v>
      </c>
      <c r="D54" s="26" t="str">
        <f aca="false">Journal!E34</f>
        <v>Achat FOOD — Awa</v>
      </c>
      <c r="E54" s="27" t="n">
        <f aca="false">N(Journal!H34)</f>
        <v>6000</v>
      </c>
      <c r="F54" s="27" t="n">
        <f aca="false">N(Journal!I34)</f>
        <v>0</v>
      </c>
      <c r="G54" s="16" t="n">
        <f aca="false">G53+E54-F54</f>
        <v>-13000</v>
      </c>
    </row>
    <row r="55" customFormat="false" ht="15" hidden="false" customHeight="false" outlineLevel="0" collapsed="false">
      <c r="A55" s="24" t="n">
        <f aca="false">Journal!A39</f>
        <v>11</v>
      </c>
      <c r="B55" s="25" t="n">
        <f aca="false">Journal!B39</f>
        <v>46367.8368055556</v>
      </c>
      <c r="C55" s="26" t="str">
        <f aca="false">Journal!C39</f>
        <v>Vente</v>
      </c>
      <c r="D55" s="26" t="str">
        <f aca="false">Journal!E39</f>
        <v>Achat BAR — Awa</v>
      </c>
      <c r="E55" s="27" t="n">
        <f aca="false">N(Journal!H39)</f>
        <v>4000</v>
      </c>
      <c r="F55" s="27" t="n">
        <f aca="false">N(Journal!I39)</f>
        <v>0</v>
      </c>
      <c r="G55" s="16" t="n">
        <f aca="false">G54+E55-F55</f>
        <v>-9000</v>
      </c>
    </row>
    <row r="56" customFormat="false" ht="15" hidden="false" customHeight="false" outlineLevel="0" collapsed="false">
      <c r="A56" s="24" t="n">
        <f aca="false">Journal!A138</f>
        <v>43</v>
      </c>
      <c r="B56" s="25" t="n">
        <f aca="false">Journal!B138</f>
        <v>46433</v>
      </c>
      <c r="C56" s="26" t="str">
        <f aca="false">Journal!C138</f>
        <v>Casse</v>
      </c>
      <c r="D56" s="26" t="str">
        <f aca="false">Journal!E138</f>
        <v>Solde non réclamé à l'échéance — Awa</v>
      </c>
      <c r="E56" s="27" t="n">
        <f aca="false">N(Journal!H138)</f>
        <v>9000</v>
      </c>
      <c r="F56" s="27" t="n">
        <f aca="false">N(Journal!I138)</f>
        <v>0</v>
      </c>
      <c r="G56" s="16" t="n">
        <f aca="false">G55+E56-F56</f>
        <v>0</v>
      </c>
    </row>
    <row r="57" customFormat="false" ht="15" hidden="false" customHeight="false" outlineLevel="0" collapsed="false">
      <c r="A57" s="2"/>
      <c r="B57" s="2"/>
      <c r="C57" s="2"/>
      <c r="D57" s="3" t="s">
        <v>536</v>
      </c>
      <c r="E57" s="21" t="n">
        <f aca="false">SUM(E52:E56)</f>
        <v>20000</v>
      </c>
      <c r="F57" s="21" t="n">
        <f aca="false">SUM(F52:F56)</f>
        <v>20000</v>
      </c>
      <c r="G57" s="21" t="n">
        <f aca="false">E57-F57</f>
        <v>0</v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5" hidden="false" customHeight="false" outlineLevel="0" collapsed="false">
      <c r="A59" s="22" t="s">
        <v>141</v>
      </c>
      <c r="B59" s="23"/>
      <c r="C59" s="23"/>
      <c r="D59" s="22" t="s">
        <v>196</v>
      </c>
      <c r="E59" s="23"/>
      <c r="F59" s="23"/>
      <c r="G59" s="23"/>
    </row>
    <row r="60" customFormat="false" ht="15" hidden="false" customHeight="false" outlineLevel="0" collapsed="false">
      <c r="A60" s="24" t="n">
        <f aca="false">Journal!A10</f>
        <v>2</v>
      </c>
      <c r="B60" s="25" t="n">
        <f aca="false">Journal!B10</f>
        <v>46367.7118055556</v>
      </c>
      <c r="C60" s="26" t="str">
        <f aca="false">Journal!C10</f>
        <v>Recharge</v>
      </c>
      <c r="D60" s="26" t="str">
        <f aca="false">Journal!E10</f>
        <v>Recharge OM — Moussa</v>
      </c>
      <c r="E60" s="27" t="n">
        <f aca="false">N(Journal!H10)</f>
        <v>0</v>
      </c>
      <c r="F60" s="27" t="n">
        <f aca="false">N(Journal!I10)</f>
        <v>15000</v>
      </c>
      <c r="G60" s="16" t="n">
        <f aca="false">E60-F60</f>
        <v>-15000</v>
      </c>
    </row>
    <row r="61" customFormat="false" ht="15" hidden="false" customHeight="false" outlineLevel="0" collapsed="false">
      <c r="A61" s="24" t="n">
        <f aca="false">Journal!A28</f>
        <v>9</v>
      </c>
      <c r="B61" s="25" t="n">
        <f aca="false">Journal!B28</f>
        <v>46367.7708333333</v>
      </c>
      <c r="C61" s="26" t="str">
        <f aca="false">Journal!C28</f>
        <v>Frais d'activation</v>
      </c>
      <c r="D61" s="26" t="str">
        <f aca="false">Journal!E28</f>
        <v>Frais d'activation bracelet W02</v>
      </c>
      <c r="E61" s="27" t="n">
        <f aca="false">N(Journal!H28)</f>
        <v>1000</v>
      </c>
      <c r="F61" s="27" t="n">
        <f aca="false">N(Journal!I28)</f>
        <v>0</v>
      </c>
      <c r="G61" s="16" t="n">
        <f aca="false">G60+E61-F61</f>
        <v>-14000</v>
      </c>
    </row>
    <row r="62" customFormat="false" ht="15" hidden="false" customHeight="false" outlineLevel="0" collapsed="false">
      <c r="A62" s="24" t="n">
        <f aca="false">Journal!A41</f>
        <v>12</v>
      </c>
      <c r="B62" s="25" t="n">
        <f aca="false">Journal!B41</f>
        <v>46367.8541666667</v>
      </c>
      <c r="C62" s="26" t="str">
        <f aca="false">Journal!C41</f>
        <v>Vente</v>
      </c>
      <c r="D62" s="26" t="str">
        <f aca="false">Journal!E41</f>
        <v>Achat TEE — Moussa</v>
      </c>
      <c r="E62" s="27" t="n">
        <f aca="false">N(Journal!H41)</f>
        <v>12000</v>
      </c>
      <c r="F62" s="27" t="n">
        <f aca="false">N(Journal!I41)</f>
        <v>0</v>
      </c>
      <c r="G62" s="16" t="n">
        <f aca="false">G61+E62-F62</f>
        <v>-2000</v>
      </c>
    </row>
    <row r="63" customFormat="false" ht="15" hidden="false" customHeight="false" outlineLevel="0" collapsed="false">
      <c r="A63" s="24" t="n">
        <f aca="false">Journal!A128</f>
        <v>41</v>
      </c>
      <c r="B63" s="25" t="n">
        <f aca="false">Journal!B128</f>
        <v>46378.5833333333</v>
      </c>
      <c r="C63" s="26" t="str">
        <f aca="false">Journal!C128</f>
        <v>Remboursement</v>
      </c>
      <c r="D63" s="26" t="str">
        <f aca="false">Journal!E128</f>
        <v>Frais de remboursement TTC — Moussa</v>
      </c>
      <c r="E63" s="27" t="n">
        <f aca="false">N(Journal!H128)</f>
        <v>500</v>
      </c>
      <c r="F63" s="27" t="n">
        <f aca="false">N(Journal!I128)</f>
        <v>0</v>
      </c>
      <c r="G63" s="16" t="n">
        <f aca="false">G62+E63-F63</f>
        <v>-1500</v>
      </c>
    </row>
    <row r="64" customFormat="false" ht="15" hidden="false" customHeight="false" outlineLevel="0" collapsed="false">
      <c r="A64" s="24" t="n">
        <f aca="false">Journal!A131</f>
        <v>41</v>
      </c>
      <c r="B64" s="25" t="n">
        <f aca="false">Journal!B131</f>
        <v>46378.5833333333</v>
      </c>
      <c r="C64" s="26" t="str">
        <f aca="false">Journal!C131</f>
        <v>Remboursement</v>
      </c>
      <c r="D64" s="26" t="str">
        <f aca="false">Journal!E131</f>
        <v>Remboursement du solde — Moussa</v>
      </c>
      <c r="E64" s="27" t="n">
        <f aca="false">N(Journal!H131)</f>
        <v>1500</v>
      </c>
      <c r="F64" s="27" t="n">
        <f aca="false">N(Journal!I131)</f>
        <v>0</v>
      </c>
      <c r="G64" s="16" t="n">
        <f aca="false">G63+E64-F64</f>
        <v>0</v>
      </c>
    </row>
    <row r="65" customFormat="false" ht="15" hidden="false" customHeight="false" outlineLevel="0" collapsed="false">
      <c r="A65" s="2"/>
      <c r="B65" s="2"/>
      <c r="C65" s="2"/>
      <c r="D65" s="3" t="s">
        <v>537</v>
      </c>
      <c r="E65" s="21" t="n">
        <f aca="false">SUM(E60:E64)</f>
        <v>15000</v>
      </c>
      <c r="F65" s="21" t="n">
        <f aca="false">SUM(F60:F64)</f>
        <v>15000</v>
      </c>
      <c r="G65" s="21" t="n">
        <f aca="false">E65-F65</f>
        <v>0</v>
      </c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5" hidden="false" customHeight="false" outlineLevel="0" collapsed="false">
      <c r="A67" s="22" t="s">
        <v>145</v>
      </c>
      <c r="B67" s="23"/>
      <c r="C67" s="23"/>
      <c r="D67" s="22" t="s">
        <v>198</v>
      </c>
      <c r="E67" s="23"/>
      <c r="F67" s="23"/>
      <c r="G67" s="23"/>
    </row>
    <row r="68" customFormat="false" ht="15" hidden="false" customHeight="false" outlineLevel="0" collapsed="false">
      <c r="A68" s="24" t="n">
        <f aca="false">Journal!A14</f>
        <v>3</v>
      </c>
      <c r="B68" s="25" t="n">
        <f aca="false">Journal!B14</f>
        <v>46367.7361111111</v>
      </c>
      <c r="C68" s="26" t="str">
        <f aca="false">Journal!C14</f>
        <v>Recharge</v>
      </c>
      <c r="D68" s="26" t="str">
        <f aca="false">Journal!E14</f>
        <v>Recharge CARTE — Fatou</v>
      </c>
      <c r="E68" s="27" t="n">
        <f aca="false">N(Journal!H14)</f>
        <v>0</v>
      </c>
      <c r="F68" s="27" t="n">
        <f aca="false">N(Journal!I14)</f>
        <v>30000</v>
      </c>
      <c r="G68" s="16" t="n">
        <f aca="false">E68-F68</f>
        <v>-30000</v>
      </c>
    </row>
    <row r="69" customFormat="false" ht="15" hidden="false" customHeight="false" outlineLevel="0" collapsed="false">
      <c r="A69" s="24" t="n">
        <f aca="false">Journal!A29</f>
        <v>9</v>
      </c>
      <c r="B69" s="25" t="n">
        <f aca="false">Journal!B29</f>
        <v>46367.7708333333</v>
      </c>
      <c r="C69" s="26" t="str">
        <f aca="false">Journal!C29</f>
        <v>Frais d'activation</v>
      </c>
      <c r="D69" s="26" t="str">
        <f aca="false">Journal!E29</f>
        <v>Frais d'activation bracelet W03</v>
      </c>
      <c r="E69" s="27" t="n">
        <f aca="false">N(Journal!H29)</f>
        <v>1000</v>
      </c>
      <c r="F69" s="27" t="n">
        <f aca="false">N(Journal!I29)</f>
        <v>0</v>
      </c>
      <c r="G69" s="16" t="n">
        <f aca="false">G68+E69-F69</f>
        <v>-29000</v>
      </c>
    </row>
    <row r="70" customFormat="false" ht="15" hidden="false" customHeight="false" outlineLevel="0" collapsed="false">
      <c r="A70" s="24" t="n">
        <f aca="false">Journal!A46</f>
        <v>13</v>
      </c>
      <c r="B70" s="25" t="n">
        <f aca="false">Journal!B46</f>
        <v>46367.875</v>
      </c>
      <c r="C70" s="26" t="str">
        <f aca="false">Journal!C46</f>
        <v>Vente</v>
      </c>
      <c r="D70" s="26" t="str">
        <f aca="false">Journal!E46</f>
        <v>Achat FOOD — Fatou</v>
      </c>
      <c r="E70" s="27" t="n">
        <f aca="false">N(Journal!H46)</f>
        <v>9000</v>
      </c>
      <c r="F70" s="27" t="n">
        <f aca="false">N(Journal!I46)</f>
        <v>0</v>
      </c>
      <c r="G70" s="16" t="n">
        <f aca="false">G69+E70-F70</f>
        <v>-20000</v>
      </c>
    </row>
    <row r="71" customFormat="false" ht="15" hidden="false" customHeight="false" outlineLevel="0" collapsed="false">
      <c r="A71" s="24" t="n">
        <f aca="false">Journal!A51</f>
        <v>14</v>
      </c>
      <c r="B71" s="25" t="n">
        <f aca="false">Journal!B51</f>
        <v>46367.9270833333</v>
      </c>
      <c r="C71" s="26" t="str">
        <f aca="false">Journal!C51</f>
        <v>Vente</v>
      </c>
      <c r="D71" s="26" t="str">
        <f aca="false">Journal!E51</f>
        <v>Achat BAR — Fatou</v>
      </c>
      <c r="E71" s="27" t="n">
        <f aca="false">N(Journal!H51)</f>
        <v>7500</v>
      </c>
      <c r="F71" s="27" t="n">
        <f aca="false">N(Journal!I51)</f>
        <v>0</v>
      </c>
      <c r="G71" s="16" t="n">
        <f aca="false">G70+E71-F71</f>
        <v>-12500</v>
      </c>
    </row>
    <row r="72" customFormat="false" ht="15" hidden="false" customHeight="false" outlineLevel="0" collapsed="false">
      <c r="A72" s="24" t="n">
        <f aca="false">Journal!A133</f>
        <v>42</v>
      </c>
      <c r="B72" s="25" t="n">
        <f aca="false">Journal!B133</f>
        <v>46392.4583333333</v>
      </c>
      <c r="C72" s="26" t="str">
        <f aca="false">Journal!C133</f>
        <v>Remboursement</v>
      </c>
      <c r="D72" s="26" t="str">
        <f aca="false">Journal!E133</f>
        <v>Frais de remboursement TTC — Fatou</v>
      </c>
      <c r="E72" s="27" t="n">
        <f aca="false">N(Journal!H133)</f>
        <v>500</v>
      </c>
      <c r="F72" s="27" t="n">
        <f aca="false">N(Journal!I133)</f>
        <v>0</v>
      </c>
      <c r="G72" s="16" t="n">
        <f aca="false">G71+E72-F72</f>
        <v>-12000</v>
      </c>
    </row>
    <row r="73" customFormat="false" ht="15" hidden="false" customHeight="false" outlineLevel="0" collapsed="false">
      <c r="A73" s="24" t="n">
        <f aca="false">Journal!A136</f>
        <v>42</v>
      </c>
      <c r="B73" s="25" t="n">
        <f aca="false">Journal!B136</f>
        <v>46392.4583333333</v>
      </c>
      <c r="C73" s="26" t="str">
        <f aca="false">Journal!C136</f>
        <v>Remboursement</v>
      </c>
      <c r="D73" s="26" t="str">
        <f aca="false">Journal!E136</f>
        <v>Remboursement du solde — Fatou</v>
      </c>
      <c r="E73" s="27" t="n">
        <f aca="false">N(Journal!H136)</f>
        <v>12000</v>
      </c>
      <c r="F73" s="27" t="n">
        <f aca="false">N(Journal!I136)</f>
        <v>0</v>
      </c>
      <c r="G73" s="16" t="n">
        <f aca="false">G72+E73-F73</f>
        <v>0</v>
      </c>
    </row>
    <row r="74" customFormat="false" ht="15" hidden="false" customHeight="false" outlineLevel="0" collapsed="false">
      <c r="A74" s="2"/>
      <c r="B74" s="2"/>
      <c r="C74" s="2"/>
      <c r="D74" s="3" t="s">
        <v>538</v>
      </c>
      <c r="E74" s="21" t="n">
        <f aca="false">SUM(E68:E73)</f>
        <v>30000</v>
      </c>
      <c r="F74" s="21" t="n">
        <f aca="false">SUM(F68:F73)</f>
        <v>30000</v>
      </c>
      <c r="G74" s="21" t="n">
        <f aca="false">E74-F74</f>
        <v>0</v>
      </c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</row>
    <row r="76" customFormat="false" ht="15" hidden="false" customHeight="false" outlineLevel="0" collapsed="false">
      <c r="A76" s="22" t="s">
        <v>149</v>
      </c>
      <c r="B76" s="23"/>
      <c r="C76" s="23"/>
      <c r="D76" s="22" t="s">
        <v>199</v>
      </c>
      <c r="E76" s="23"/>
      <c r="F76" s="23"/>
      <c r="G76" s="23"/>
    </row>
    <row r="77" customFormat="false" ht="15" hidden="false" customHeight="false" outlineLevel="0" collapsed="false">
      <c r="A77" s="24" t="n">
        <f aca="false">Journal!A18</f>
        <v>4</v>
      </c>
      <c r="B77" s="25" t="n">
        <f aca="false">Journal!B18</f>
        <v>46367.7513888889</v>
      </c>
      <c r="C77" s="26" t="str">
        <f aca="false">Journal!C18</f>
        <v>Recharge espèces</v>
      </c>
      <c r="D77" s="26" t="str">
        <f aca="false">Journal!E18</f>
        <v>Recharge espèces caisse C1 — Jean</v>
      </c>
      <c r="E77" s="27" t="n">
        <f aca="false">N(Journal!H18)</f>
        <v>0</v>
      </c>
      <c r="F77" s="27" t="n">
        <f aca="false">N(Journal!I18)</f>
        <v>10000</v>
      </c>
      <c r="G77" s="16" t="n">
        <f aca="false">E77-F77</f>
        <v>-10000</v>
      </c>
    </row>
    <row r="78" customFormat="false" ht="15" hidden="false" customHeight="false" outlineLevel="0" collapsed="false">
      <c r="A78" s="24" t="n">
        <f aca="false">Journal!A30</f>
        <v>9</v>
      </c>
      <c r="B78" s="25" t="n">
        <f aca="false">Journal!B30</f>
        <v>46367.7708333333</v>
      </c>
      <c r="C78" s="26" t="str">
        <f aca="false">Journal!C30</f>
        <v>Frais d'activation</v>
      </c>
      <c r="D78" s="26" t="str">
        <f aca="false">Journal!E30</f>
        <v>Frais d'activation bracelet W04</v>
      </c>
      <c r="E78" s="27" t="n">
        <f aca="false">N(Journal!H30)</f>
        <v>1000</v>
      </c>
      <c r="F78" s="27" t="n">
        <f aca="false">N(Journal!I30)</f>
        <v>0</v>
      </c>
      <c r="G78" s="16" t="n">
        <f aca="false">G77+E78-F78</f>
        <v>-9000</v>
      </c>
    </row>
    <row r="79" customFormat="false" ht="15" hidden="false" customHeight="false" outlineLevel="0" collapsed="false">
      <c r="A79" s="24" t="n">
        <f aca="false">Journal!A53</f>
        <v>15</v>
      </c>
      <c r="B79" s="25" t="n">
        <f aca="false">Journal!B53</f>
        <v>46368.7916666667</v>
      </c>
      <c r="C79" s="26" t="str">
        <f aca="false">Journal!C53</f>
        <v>Vente</v>
      </c>
      <c r="D79" s="26" t="str">
        <f aca="false">Journal!E53</f>
        <v>Achat BAR — Jean</v>
      </c>
      <c r="E79" s="27" t="n">
        <f aca="false">N(Journal!H53)</f>
        <v>6000</v>
      </c>
      <c r="F79" s="27" t="n">
        <f aca="false">N(Journal!I53)</f>
        <v>0</v>
      </c>
      <c r="G79" s="16" t="n">
        <f aca="false">G78+E79-F79</f>
        <v>-3000</v>
      </c>
    </row>
    <row r="80" customFormat="false" ht="15" hidden="false" customHeight="false" outlineLevel="0" collapsed="false">
      <c r="A80" s="24" t="n">
        <f aca="false">Journal!A56</f>
        <v>16</v>
      </c>
      <c r="B80" s="25" t="n">
        <f aca="false">Journal!B56</f>
        <v>46368.79375</v>
      </c>
      <c r="C80" s="26" t="str">
        <f aca="false">Journal!C56</f>
        <v>Annulation vente</v>
      </c>
      <c r="D80" s="26" t="str">
        <f aca="false">Journal!E56</f>
        <v>Contre-passation de T15 (erreur de saisie)</v>
      </c>
      <c r="E80" s="27" t="n">
        <f aca="false">N(Journal!H56)</f>
        <v>0</v>
      </c>
      <c r="F80" s="27" t="n">
        <f aca="false">N(Journal!I56)</f>
        <v>6000</v>
      </c>
      <c r="G80" s="16" t="n">
        <f aca="false">G79+E80-F80</f>
        <v>-9000</v>
      </c>
    </row>
    <row r="81" customFormat="false" ht="15" hidden="false" customHeight="false" outlineLevel="0" collapsed="false">
      <c r="A81" s="24" t="n">
        <f aca="false">Journal!A57</f>
        <v>17</v>
      </c>
      <c r="B81" s="25" t="n">
        <f aca="false">Journal!B57</f>
        <v>46368.7944444444</v>
      </c>
      <c r="C81" s="26" t="str">
        <f aca="false">Journal!C57</f>
        <v>Vente</v>
      </c>
      <c r="D81" s="26" t="str">
        <f aca="false">Journal!E57</f>
        <v>Achat BAR — Jean (montant corrigé)</v>
      </c>
      <c r="E81" s="27" t="n">
        <f aca="false">N(Journal!H57)</f>
        <v>3000</v>
      </c>
      <c r="F81" s="27" t="n">
        <f aca="false">N(Journal!I57)</f>
        <v>0</v>
      </c>
      <c r="G81" s="16" t="n">
        <f aca="false">G80+E81-F81</f>
        <v>-6000</v>
      </c>
    </row>
    <row r="82" customFormat="false" ht="15" hidden="false" customHeight="false" outlineLevel="0" collapsed="false">
      <c r="A82" s="24" t="n">
        <f aca="false">Journal!A76</f>
        <v>22</v>
      </c>
      <c r="B82" s="25" t="n">
        <f aca="false">Journal!B76</f>
        <v>46369.8958333333</v>
      </c>
      <c r="C82" s="26" t="str">
        <f aca="false">Journal!C76</f>
        <v>Vente hors ligne</v>
      </c>
      <c r="D82" s="26" t="str">
        <f aca="false">Journal!E76</f>
        <v>Achat FOOD hors ligne — Jean (synchro : solde insuffisant)</v>
      </c>
      <c r="E82" s="27" t="n">
        <f aca="false">N(Journal!H76)</f>
        <v>6000</v>
      </c>
      <c r="F82" s="27" t="n">
        <f aca="false">N(Journal!I76)</f>
        <v>0</v>
      </c>
      <c r="G82" s="16" t="n">
        <f aca="false">G81+E82-F82</f>
        <v>0</v>
      </c>
    </row>
    <row r="83" customFormat="false" ht="15" hidden="false" customHeight="false" outlineLevel="0" collapsed="false">
      <c r="A83" s="2"/>
      <c r="B83" s="2"/>
      <c r="C83" s="2"/>
      <c r="D83" s="3" t="s">
        <v>539</v>
      </c>
      <c r="E83" s="21" t="n">
        <f aca="false">SUM(E77:E82)</f>
        <v>16000</v>
      </c>
      <c r="F83" s="21" t="n">
        <f aca="false">SUM(F77:F82)</f>
        <v>16000</v>
      </c>
      <c r="G83" s="21" t="n">
        <f aca="false">E83-F83</f>
        <v>0</v>
      </c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5" hidden="false" customHeight="false" outlineLevel="0" collapsed="false">
      <c r="A85" s="22" t="s">
        <v>153</v>
      </c>
      <c r="B85" s="23"/>
      <c r="C85" s="23"/>
      <c r="D85" s="22" t="s">
        <v>200</v>
      </c>
      <c r="E85" s="23"/>
      <c r="F85" s="23"/>
      <c r="G85" s="23"/>
    </row>
    <row r="86" customFormat="false" ht="15" hidden="false" customHeight="false" outlineLevel="0" collapsed="false">
      <c r="A86" s="24" t="n">
        <f aca="false">Journal!A22</f>
        <v>6</v>
      </c>
      <c r="B86" s="25" t="n">
        <f aca="false">Journal!B22</f>
        <v>46367.7604166667</v>
      </c>
      <c r="C86" s="26" t="str">
        <f aca="false">Journal!C22</f>
        <v>Recharge espèces</v>
      </c>
      <c r="D86" s="26" t="str">
        <f aca="false">Journal!E22</f>
        <v>Recharge espèces caisse C1 — Aminata</v>
      </c>
      <c r="E86" s="27" t="n">
        <f aca="false">N(Journal!H22)</f>
        <v>0</v>
      </c>
      <c r="F86" s="27" t="n">
        <f aca="false">N(Journal!I22)</f>
        <v>25000</v>
      </c>
      <c r="G86" s="16" t="n">
        <f aca="false">E86-F86</f>
        <v>-25000</v>
      </c>
    </row>
    <row r="87" customFormat="false" ht="15" hidden="false" customHeight="false" outlineLevel="0" collapsed="false">
      <c r="A87" s="24" t="n">
        <f aca="false">Journal!A23</f>
        <v>7</v>
      </c>
      <c r="B87" s="25" t="n">
        <f aca="false">Journal!B23</f>
        <v>46367.7611111111</v>
      </c>
      <c r="C87" s="26" t="str">
        <f aca="false">Journal!C23</f>
        <v>Caution</v>
      </c>
      <c r="D87" s="26" t="str">
        <f aca="false">Journal!E23</f>
        <v>Caution prélevée sur le solde (mode C) — Aminata</v>
      </c>
      <c r="E87" s="27" t="n">
        <f aca="false">N(Journal!H23)</f>
        <v>2000</v>
      </c>
      <c r="F87" s="27" t="n">
        <f aca="false">N(Journal!I23)</f>
        <v>0</v>
      </c>
      <c r="G87" s="16" t="n">
        <f aca="false">G86+E87-F87</f>
        <v>-23000</v>
      </c>
    </row>
    <row r="88" customFormat="false" ht="15" hidden="false" customHeight="false" outlineLevel="0" collapsed="false">
      <c r="A88" s="24" t="n">
        <f aca="false">Journal!A31</f>
        <v>9</v>
      </c>
      <c r="B88" s="25" t="n">
        <f aca="false">Journal!B31</f>
        <v>46367.7708333333</v>
      </c>
      <c r="C88" s="26" t="str">
        <f aca="false">Journal!C31</f>
        <v>Frais d'activation</v>
      </c>
      <c r="D88" s="26" t="str">
        <f aca="false">Journal!E31</f>
        <v>Frais d'activation bracelet W05</v>
      </c>
      <c r="E88" s="27" t="n">
        <f aca="false">N(Journal!H31)</f>
        <v>1000</v>
      </c>
      <c r="F88" s="27" t="n">
        <f aca="false">N(Journal!I31)</f>
        <v>0</v>
      </c>
      <c r="G88" s="16" t="n">
        <f aca="false">G87+E88-F88</f>
        <v>-22000</v>
      </c>
    </row>
    <row r="89" customFormat="false" ht="15" hidden="false" customHeight="false" outlineLevel="0" collapsed="false">
      <c r="A89" s="24" t="n">
        <f aca="false">Journal!A59</f>
        <v>18</v>
      </c>
      <c r="B89" s="25" t="n">
        <f aca="false">Journal!B59</f>
        <v>46368.8472222222</v>
      </c>
      <c r="C89" s="26" t="str">
        <f aca="false">Journal!C59</f>
        <v>Vente</v>
      </c>
      <c r="D89" s="26" t="str">
        <f aca="false">Journal!E59</f>
        <v>Achat TEE — Aminata</v>
      </c>
      <c r="E89" s="27" t="n">
        <f aca="false">N(Journal!H59)</f>
        <v>8000</v>
      </c>
      <c r="F89" s="27" t="n">
        <f aca="false">N(Journal!I59)</f>
        <v>0</v>
      </c>
      <c r="G89" s="16" t="n">
        <f aca="false">G88+E89-F89</f>
        <v>-14000</v>
      </c>
    </row>
    <row r="90" customFormat="false" ht="15" hidden="false" customHeight="false" outlineLevel="0" collapsed="false">
      <c r="A90" s="24" t="n">
        <f aca="false">Journal!A64</f>
        <v>19</v>
      </c>
      <c r="B90" s="25" t="n">
        <f aca="false">Journal!B64</f>
        <v>46368.90625</v>
      </c>
      <c r="C90" s="26" t="str">
        <f aca="false">Journal!C64</f>
        <v>Vente</v>
      </c>
      <c r="D90" s="26" t="str">
        <f aca="false">Journal!E64</f>
        <v>Achat FOOD — Aminata</v>
      </c>
      <c r="E90" s="27" t="n">
        <f aca="false">N(Journal!H64)</f>
        <v>5000</v>
      </c>
      <c r="F90" s="27" t="n">
        <f aca="false">N(Journal!I64)</f>
        <v>0</v>
      </c>
      <c r="G90" s="16" t="n">
        <f aca="false">G89+E90-F90</f>
        <v>-9000</v>
      </c>
    </row>
    <row r="91" customFormat="false" ht="15" hidden="false" customHeight="false" outlineLevel="0" collapsed="false">
      <c r="A91" s="24" t="n">
        <f aca="false">Journal!A83</f>
        <v>23</v>
      </c>
      <c r="B91" s="25" t="n">
        <f aca="false">Journal!B83</f>
        <v>46369.9791666667</v>
      </c>
      <c r="C91" s="26" t="str">
        <f aca="false">Journal!C83</f>
        <v>Caution rendue</v>
      </c>
      <c r="D91" s="26" t="str">
        <f aca="false">Journal!E83</f>
        <v>Caution recréditée — Aminata</v>
      </c>
      <c r="E91" s="27" t="n">
        <f aca="false">N(Journal!H83)</f>
        <v>0</v>
      </c>
      <c r="F91" s="27" t="n">
        <f aca="false">N(Journal!I83)</f>
        <v>2000</v>
      </c>
      <c r="G91" s="16" t="n">
        <f aca="false">G90+E91-F91</f>
        <v>-11000</v>
      </c>
    </row>
    <row r="92" customFormat="false" ht="15" hidden="false" customHeight="false" outlineLevel="0" collapsed="false">
      <c r="A92" s="24" t="n">
        <f aca="false">Journal!A139</f>
        <v>43</v>
      </c>
      <c r="B92" s="25" t="n">
        <f aca="false">Journal!B139</f>
        <v>46433</v>
      </c>
      <c r="C92" s="26" t="str">
        <f aca="false">Journal!C139</f>
        <v>Casse</v>
      </c>
      <c r="D92" s="26" t="str">
        <f aca="false">Journal!E139</f>
        <v>Solde non réclamé à l'échéance — Aminata</v>
      </c>
      <c r="E92" s="27" t="n">
        <f aca="false">N(Journal!H139)</f>
        <v>11000</v>
      </c>
      <c r="F92" s="27" t="n">
        <f aca="false">N(Journal!I139)</f>
        <v>0</v>
      </c>
      <c r="G92" s="16" t="n">
        <f aca="false">G91+E92-F92</f>
        <v>0</v>
      </c>
    </row>
    <row r="93" customFormat="false" ht="15" hidden="false" customHeight="false" outlineLevel="0" collapsed="false">
      <c r="A93" s="2"/>
      <c r="B93" s="2"/>
      <c r="C93" s="2"/>
      <c r="D93" s="3" t="s">
        <v>540</v>
      </c>
      <c r="E93" s="21" t="n">
        <f aca="false">SUM(E86:E92)</f>
        <v>27000</v>
      </c>
      <c r="F93" s="21" t="n">
        <f aca="false">SUM(F86:F92)</f>
        <v>27000</v>
      </c>
      <c r="G93" s="21" t="n">
        <f aca="false">E93-F93</f>
        <v>0</v>
      </c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</row>
    <row r="95" customFormat="false" ht="15" hidden="false" customHeight="false" outlineLevel="0" collapsed="false">
      <c r="A95" s="22" t="s">
        <v>157</v>
      </c>
      <c r="B95" s="23"/>
      <c r="C95" s="23"/>
      <c r="D95" s="22" t="s">
        <v>201</v>
      </c>
      <c r="E95" s="23"/>
      <c r="F95" s="23"/>
      <c r="G95" s="23"/>
    </row>
    <row r="96" customFormat="false" ht="15" hidden="false" customHeight="false" outlineLevel="0" collapsed="false">
      <c r="A96" s="24" t="n">
        <f aca="false">Journal!A26</f>
        <v>8</v>
      </c>
      <c r="B96" s="25" t="n">
        <f aca="false">Journal!B26</f>
        <v>46367.7638888889</v>
      </c>
      <c r="C96" s="26" t="str">
        <f aca="false">Journal!C26</f>
        <v>Crédits offerts</v>
      </c>
      <c r="D96" s="26" t="str">
        <f aca="false">Journal!E26</f>
        <v>Crédits staff offerts par l'organisateur — Ibou</v>
      </c>
      <c r="E96" s="27" t="n">
        <f aca="false">N(Journal!H26)</f>
        <v>0</v>
      </c>
      <c r="F96" s="27" t="n">
        <f aca="false">N(Journal!I26)</f>
        <v>6000</v>
      </c>
      <c r="G96" s="16" t="n">
        <f aca="false">E96-F96</f>
        <v>-6000</v>
      </c>
    </row>
    <row r="97" customFormat="false" ht="15" hidden="false" customHeight="false" outlineLevel="0" collapsed="false">
      <c r="A97" s="24" t="n">
        <f aca="false">Journal!A69</f>
        <v>20</v>
      </c>
      <c r="B97" s="25" t="n">
        <f aca="false">Journal!B69</f>
        <v>46368.9166666667</v>
      </c>
      <c r="C97" s="26" t="str">
        <f aca="false">Journal!C69</f>
        <v>Vente</v>
      </c>
      <c r="D97" s="26" t="str">
        <f aca="false">Journal!E69</f>
        <v>Achat BAR — Ibou (crédits offerts)</v>
      </c>
      <c r="E97" s="27" t="n">
        <f aca="false">N(Journal!H69)</f>
        <v>4000</v>
      </c>
      <c r="F97" s="27" t="n">
        <f aca="false">N(Journal!I69)</f>
        <v>0</v>
      </c>
      <c r="G97" s="16" t="n">
        <f aca="false">G96+E97-F97</f>
        <v>-2000</v>
      </c>
    </row>
    <row r="98" customFormat="false" ht="15" hidden="false" customHeight="false" outlineLevel="0" collapsed="false">
      <c r="A98" s="24" t="n">
        <f aca="false">Journal!A71</f>
        <v>21</v>
      </c>
      <c r="B98" s="25" t="n">
        <f aca="false">Journal!B71</f>
        <v>46369.5416666667</v>
      </c>
      <c r="C98" s="26" t="str">
        <f aca="false">Journal!C71</f>
        <v>Vente</v>
      </c>
      <c r="D98" s="26" t="str">
        <f aca="false">Journal!E71</f>
        <v>Achat FOOD — Ibou (crédits offerts)</v>
      </c>
      <c r="E98" s="27" t="n">
        <f aca="false">N(Journal!H71)</f>
        <v>1000</v>
      </c>
      <c r="F98" s="27" t="n">
        <f aca="false">N(Journal!I71)</f>
        <v>0</v>
      </c>
      <c r="G98" s="16" t="n">
        <f aca="false">G97+E98-F98</f>
        <v>-1000</v>
      </c>
    </row>
    <row r="99" customFormat="false" ht="15" hidden="false" customHeight="false" outlineLevel="0" collapsed="false">
      <c r="A99" s="24" t="n">
        <f aca="false">Journal!A144</f>
        <v>45</v>
      </c>
      <c r="B99" s="25" t="n">
        <f aca="false">Journal!B144</f>
        <v>46433.0034722222</v>
      </c>
      <c r="C99" s="26" t="str">
        <f aca="false">Journal!C144</f>
        <v>Expiration crédits offerts</v>
      </c>
      <c r="D99" s="26" t="str">
        <f aca="false">Journal!E144</f>
        <v>Crédits offerts non utilisés — Ibou</v>
      </c>
      <c r="E99" s="27" t="n">
        <f aca="false">N(Journal!H144)</f>
        <v>1000</v>
      </c>
      <c r="F99" s="27" t="n">
        <f aca="false">N(Journal!I144)</f>
        <v>0</v>
      </c>
      <c r="G99" s="16" t="n">
        <f aca="false">G98+E99-F99</f>
        <v>0</v>
      </c>
    </row>
    <row r="100" customFormat="false" ht="15" hidden="false" customHeight="false" outlineLevel="0" collapsed="false">
      <c r="A100" s="2"/>
      <c r="B100" s="2"/>
      <c r="C100" s="2"/>
      <c r="D100" s="3" t="s">
        <v>541</v>
      </c>
      <c r="E100" s="21" t="n">
        <f aca="false">SUM(E96:E99)</f>
        <v>6000</v>
      </c>
      <c r="F100" s="21" t="n">
        <f aca="false">SUM(F96:F99)</f>
        <v>6000</v>
      </c>
      <c r="G100" s="21" t="n">
        <f aca="false">E100-F100</f>
        <v>0</v>
      </c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</row>
    <row r="102" customFormat="false" ht="15" hidden="false" customHeight="false" outlineLevel="0" collapsed="false">
      <c r="A102" s="22" t="s">
        <v>204</v>
      </c>
      <c r="B102" s="23"/>
      <c r="C102" s="23"/>
      <c r="D102" s="22" t="s">
        <v>205</v>
      </c>
      <c r="E102" s="23"/>
      <c r="F102" s="23"/>
      <c r="G102" s="23"/>
    </row>
    <row r="103" customFormat="false" ht="15" hidden="false" customHeight="false" outlineLevel="0" collapsed="false">
      <c r="A103" s="24" t="n">
        <f aca="false">Journal!A40</f>
        <v>11</v>
      </c>
      <c r="B103" s="25" t="n">
        <f aca="false">Journal!B40</f>
        <v>46367.8368055556</v>
      </c>
      <c r="C103" s="26" t="str">
        <f aca="false">Journal!C40</f>
        <v>Vente</v>
      </c>
      <c r="D103" s="26" t="str">
        <f aca="false">Journal!E40</f>
        <v>Vente BAR — Awa</v>
      </c>
      <c r="E103" s="27" t="n">
        <f aca="false">N(Journal!H40)</f>
        <v>0</v>
      </c>
      <c r="F103" s="27" t="n">
        <f aca="false">N(Journal!I40)</f>
        <v>4000</v>
      </c>
      <c r="G103" s="16" t="n">
        <f aca="false">E103-F103</f>
        <v>-4000</v>
      </c>
    </row>
    <row r="104" customFormat="false" ht="15" hidden="false" customHeight="false" outlineLevel="0" collapsed="false">
      <c r="A104" s="24" t="n">
        <f aca="false">Journal!A52</f>
        <v>14</v>
      </c>
      <c r="B104" s="25" t="n">
        <f aca="false">Journal!B52</f>
        <v>46367.9270833333</v>
      </c>
      <c r="C104" s="26" t="str">
        <f aca="false">Journal!C52</f>
        <v>Vente</v>
      </c>
      <c r="D104" s="26" t="str">
        <f aca="false">Journal!E52</f>
        <v>Vente BAR — Fatou</v>
      </c>
      <c r="E104" s="27" t="n">
        <f aca="false">N(Journal!H52)</f>
        <v>0</v>
      </c>
      <c r="F104" s="27" t="n">
        <f aca="false">N(Journal!I52)</f>
        <v>7500</v>
      </c>
      <c r="G104" s="16" t="n">
        <f aca="false">G103+E104-F104</f>
        <v>-11500</v>
      </c>
    </row>
    <row r="105" customFormat="false" ht="15" hidden="false" customHeight="false" outlineLevel="0" collapsed="false">
      <c r="A105" s="24" t="n">
        <f aca="false">Journal!A54</f>
        <v>15</v>
      </c>
      <c r="B105" s="25" t="n">
        <f aca="false">Journal!B54</f>
        <v>46368.7916666667</v>
      </c>
      <c r="C105" s="26" t="str">
        <f aca="false">Journal!C54</f>
        <v>Vente</v>
      </c>
      <c r="D105" s="26" t="str">
        <f aca="false">Journal!E54</f>
        <v>Vente BAR — Jean</v>
      </c>
      <c r="E105" s="27" t="n">
        <f aca="false">N(Journal!H54)</f>
        <v>0</v>
      </c>
      <c r="F105" s="27" t="n">
        <f aca="false">N(Journal!I54)</f>
        <v>6000</v>
      </c>
      <c r="G105" s="16" t="n">
        <f aca="false">G104+E105-F105</f>
        <v>-17500</v>
      </c>
    </row>
    <row r="106" customFormat="false" ht="15" hidden="false" customHeight="false" outlineLevel="0" collapsed="false">
      <c r="A106" s="24" t="n">
        <f aca="false">Journal!A55</f>
        <v>16</v>
      </c>
      <c r="B106" s="25" t="n">
        <f aca="false">Journal!B55</f>
        <v>46368.79375</v>
      </c>
      <c r="C106" s="26" t="str">
        <f aca="false">Journal!C55</f>
        <v>Annulation vente</v>
      </c>
      <c r="D106" s="26" t="str">
        <f aca="false">Journal!E55</f>
        <v>Contre-passation de T15 (erreur de saisie)</v>
      </c>
      <c r="E106" s="27" t="n">
        <f aca="false">N(Journal!H55)</f>
        <v>6000</v>
      </c>
      <c r="F106" s="27" t="n">
        <f aca="false">N(Journal!I55)</f>
        <v>0</v>
      </c>
      <c r="G106" s="16" t="n">
        <f aca="false">G105+E106-F106</f>
        <v>-11500</v>
      </c>
    </row>
    <row r="107" customFormat="false" ht="15" hidden="false" customHeight="false" outlineLevel="0" collapsed="false">
      <c r="A107" s="24" t="n">
        <f aca="false">Journal!A58</f>
        <v>17</v>
      </c>
      <c r="B107" s="25" t="n">
        <f aca="false">Journal!B58</f>
        <v>46368.7944444444</v>
      </c>
      <c r="C107" s="26" t="str">
        <f aca="false">Journal!C58</f>
        <v>Vente</v>
      </c>
      <c r="D107" s="26" t="str">
        <f aca="false">Journal!E58</f>
        <v>Vente BAR — Jean (montant corrigé)</v>
      </c>
      <c r="E107" s="27" t="n">
        <f aca="false">N(Journal!H58)</f>
        <v>0</v>
      </c>
      <c r="F107" s="27" t="n">
        <f aca="false">N(Journal!I58)</f>
        <v>3000</v>
      </c>
      <c r="G107" s="16" t="n">
        <f aca="false">G106+E107-F107</f>
        <v>-14500</v>
      </c>
    </row>
    <row r="108" customFormat="false" ht="15" hidden="false" customHeight="false" outlineLevel="0" collapsed="false">
      <c r="A108" s="24" t="n">
        <f aca="false">Journal!A70</f>
        <v>20</v>
      </c>
      <c r="B108" s="25" t="n">
        <f aca="false">Journal!B70</f>
        <v>46368.9166666667</v>
      </c>
      <c r="C108" s="26" t="str">
        <f aca="false">Journal!C70</f>
        <v>Vente</v>
      </c>
      <c r="D108" s="26" t="str">
        <f aca="false">Journal!E70</f>
        <v>Vente BAR — Ibou (crédits offerts)</v>
      </c>
      <c r="E108" s="27" t="n">
        <f aca="false">N(Journal!H70)</f>
        <v>0</v>
      </c>
      <c r="F108" s="27" t="n">
        <f aca="false">N(Journal!I70)</f>
        <v>4000</v>
      </c>
      <c r="G108" s="16" t="n">
        <f aca="false">G107+E108-F108</f>
        <v>-18500</v>
      </c>
    </row>
    <row r="109" customFormat="false" ht="15" hidden="false" customHeight="false" outlineLevel="0" collapsed="false">
      <c r="A109" s="24" t="n">
        <f aca="false">Journal!A110</f>
        <v>33</v>
      </c>
      <c r="B109" s="25" t="n">
        <f aca="false">Journal!B110</f>
        <v>46376.4166666667</v>
      </c>
      <c r="C109" s="26" t="str">
        <f aca="false">Journal!C110</f>
        <v>Versements initiés</v>
      </c>
      <c r="D109" s="26" t="str">
        <f aca="false">Journal!E110</f>
        <v>Versement initié — Bar interne → organisateur</v>
      </c>
      <c r="E109" s="27" t="n">
        <f aca="false">N(Journal!H110)</f>
        <v>18500</v>
      </c>
      <c r="F109" s="27" t="n">
        <f aca="false">N(Journal!I110)</f>
        <v>0</v>
      </c>
      <c r="G109" s="16" t="n">
        <f aca="false">G108+E109-F109</f>
        <v>0</v>
      </c>
    </row>
    <row r="110" customFormat="false" ht="15" hidden="false" customHeight="false" outlineLevel="0" collapsed="false">
      <c r="A110" s="2"/>
      <c r="B110" s="2"/>
      <c r="C110" s="2"/>
      <c r="D110" s="3" t="s">
        <v>542</v>
      </c>
      <c r="E110" s="21" t="n">
        <f aca="false">SUM(E103:E109)</f>
        <v>24500</v>
      </c>
      <c r="F110" s="21" t="n">
        <f aca="false">SUM(F103:F109)</f>
        <v>24500</v>
      </c>
      <c r="G110" s="21" t="n">
        <f aca="false">E110-F110</f>
        <v>0</v>
      </c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</row>
    <row r="112" customFormat="false" ht="15" hidden="false" customHeight="false" outlineLevel="0" collapsed="false">
      <c r="A112" s="22" t="s">
        <v>209</v>
      </c>
      <c r="B112" s="23"/>
      <c r="C112" s="23"/>
      <c r="D112" s="22" t="s">
        <v>210</v>
      </c>
      <c r="E112" s="23"/>
      <c r="F112" s="23"/>
      <c r="G112" s="23"/>
    </row>
    <row r="113" customFormat="false" ht="15" hidden="false" customHeight="false" outlineLevel="0" collapsed="false">
      <c r="A113" s="24" t="n">
        <f aca="false">Journal!A35</f>
        <v>10</v>
      </c>
      <c r="B113" s="25" t="n">
        <f aca="false">Journal!B35</f>
        <v>46367.7986111111</v>
      </c>
      <c r="C113" s="26" t="str">
        <f aca="false">Journal!C35</f>
        <v>Vente</v>
      </c>
      <c r="D113" s="26" t="str">
        <f aca="false">Journal!E35</f>
        <v>Vente FOOD — Awa</v>
      </c>
      <c r="E113" s="27" t="n">
        <f aca="false">N(Journal!H35)</f>
        <v>0</v>
      </c>
      <c r="F113" s="27" t="n">
        <f aca="false">N(Journal!I35)</f>
        <v>6000</v>
      </c>
      <c r="G113" s="16" t="n">
        <f aca="false">E113-F113</f>
        <v>-6000</v>
      </c>
    </row>
    <row r="114" customFormat="false" ht="15" hidden="false" customHeight="false" outlineLevel="0" collapsed="false">
      <c r="A114" s="24" t="n">
        <f aca="false">Journal!A36</f>
        <v>10</v>
      </c>
      <c r="B114" s="25" t="n">
        <f aca="false">Journal!B36</f>
        <v>46367.7986111111</v>
      </c>
      <c r="C114" s="26" t="str">
        <f aca="false">Journal!C36</f>
        <v>Vente</v>
      </c>
      <c r="D114" s="26" t="str">
        <f aca="false">Journal!E36</f>
        <v>Commission TTC sur vente FOOD</v>
      </c>
      <c r="E114" s="27" t="n">
        <f aca="false">N(Journal!H36)</f>
        <v>720</v>
      </c>
      <c r="F114" s="27" t="n">
        <f aca="false">N(Journal!I36)</f>
        <v>0</v>
      </c>
      <c r="G114" s="16" t="n">
        <f aca="false">G113+E114-F114</f>
        <v>-5280</v>
      </c>
    </row>
    <row r="115" customFormat="false" ht="15" hidden="false" customHeight="false" outlineLevel="0" collapsed="false">
      <c r="A115" s="24" t="n">
        <f aca="false">Journal!A47</f>
        <v>13</v>
      </c>
      <c r="B115" s="25" t="n">
        <f aca="false">Journal!B47</f>
        <v>46367.875</v>
      </c>
      <c r="C115" s="26" t="str">
        <f aca="false">Journal!C47</f>
        <v>Vente</v>
      </c>
      <c r="D115" s="26" t="str">
        <f aca="false">Journal!E47</f>
        <v>Vente FOOD — Fatou</v>
      </c>
      <c r="E115" s="27" t="n">
        <f aca="false">N(Journal!H47)</f>
        <v>0</v>
      </c>
      <c r="F115" s="27" t="n">
        <f aca="false">N(Journal!I47)</f>
        <v>9000</v>
      </c>
      <c r="G115" s="16" t="n">
        <f aca="false">G114+E115-F115</f>
        <v>-14280</v>
      </c>
    </row>
    <row r="116" customFormat="false" ht="15" hidden="false" customHeight="false" outlineLevel="0" collapsed="false">
      <c r="A116" s="24" t="n">
        <f aca="false">Journal!A48</f>
        <v>13</v>
      </c>
      <c r="B116" s="25" t="n">
        <f aca="false">Journal!B48</f>
        <v>46367.875</v>
      </c>
      <c r="C116" s="26" t="str">
        <f aca="false">Journal!C48</f>
        <v>Vente</v>
      </c>
      <c r="D116" s="26" t="str">
        <f aca="false">Journal!E48</f>
        <v>Commission TTC sur vente FOOD</v>
      </c>
      <c r="E116" s="27" t="n">
        <f aca="false">N(Journal!H48)</f>
        <v>1080</v>
      </c>
      <c r="F116" s="27" t="n">
        <f aca="false">N(Journal!I48)</f>
        <v>0</v>
      </c>
      <c r="G116" s="16" t="n">
        <f aca="false">G115+E116-F116</f>
        <v>-13200</v>
      </c>
    </row>
    <row r="117" customFormat="false" ht="15" hidden="false" customHeight="false" outlineLevel="0" collapsed="false">
      <c r="A117" s="24" t="n">
        <f aca="false">Journal!A65</f>
        <v>19</v>
      </c>
      <c r="B117" s="25" t="n">
        <f aca="false">Journal!B65</f>
        <v>46368.90625</v>
      </c>
      <c r="C117" s="26" t="str">
        <f aca="false">Journal!C65</f>
        <v>Vente</v>
      </c>
      <c r="D117" s="26" t="str">
        <f aca="false">Journal!E65</f>
        <v>Vente FOOD — Aminata</v>
      </c>
      <c r="E117" s="27" t="n">
        <f aca="false">N(Journal!H65)</f>
        <v>0</v>
      </c>
      <c r="F117" s="27" t="n">
        <f aca="false">N(Journal!I65)</f>
        <v>5000</v>
      </c>
      <c r="G117" s="16" t="n">
        <f aca="false">G116+E117-F117</f>
        <v>-18200</v>
      </c>
    </row>
    <row r="118" customFormat="false" ht="15" hidden="false" customHeight="false" outlineLevel="0" collapsed="false">
      <c r="A118" s="24" t="n">
        <f aca="false">Journal!A66</f>
        <v>19</v>
      </c>
      <c r="B118" s="25" t="n">
        <f aca="false">Journal!B66</f>
        <v>46368.90625</v>
      </c>
      <c r="C118" s="26" t="str">
        <f aca="false">Journal!C66</f>
        <v>Vente</v>
      </c>
      <c r="D118" s="26" t="str">
        <f aca="false">Journal!E66</f>
        <v>Commission TTC sur vente FOOD</v>
      </c>
      <c r="E118" s="27" t="n">
        <f aca="false">N(Journal!H66)</f>
        <v>600</v>
      </c>
      <c r="F118" s="27" t="n">
        <f aca="false">N(Journal!I66)</f>
        <v>0</v>
      </c>
      <c r="G118" s="16" t="n">
        <f aca="false">G117+E118-F118</f>
        <v>-17600</v>
      </c>
    </row>
    <row r="119" customFormat="false" ht="15" hidden="false" customHeight="false" outlineLevel="0" collapsed="false">
      <c r="A119" s="24" t="n">
        <f aca="false">Journal!A72</f>
        <v>21</v>
      </c>
      <c r="B119" s="25" t="n">
        <f aca="false">Journal!B72</f>
        <v>46369.5416666667</v>
      </c>
      <c r="C119" s="26" t="str">
        <f aca="false">Journal!C72</f>
        <v>Vente</v>
      </c>
      <c r="D119" s="26" t="str">
        <f aca="false">Journal!E72</f>
        <v>Vente FOOD — Ibou (crédits offerts)</v>
      </c>
      <c r="E119" s="27" t="n">
        <f aca="false">N(Journal!H72)</f>
        <v>0</v>
      </c>
      <c r="F119" s="27" t="n">
        <f aca="false">N(Journal!I72)</f>
        <v>1000</v>
      </c>
      <c r="G119" s="16" t="n">
        <f aca="false">G118+E119-F119</f>
        <v>-18600</v>
      </c>
    </row>
    <row r="120" customFormat="false" ht="15" hidden="false" customHeight="false" outlineLevel="0" collapsed="false">
      <c r="A120" s="24" t="n">
        <f aca="false">Journal!A73</f>
        <v>21</v>
      </c>
      <c r="B120" s="25" t="n">
        <f aca="false">Journal!B73</f>
        <v>46369.5416666667</v>
      </c>
      <c r="C120" s="26" t="str">
        <f aca="false">Journal!C73</f>
        <v>Vente</v>
      </c>
      <c r="D120" s="26" t="str">
        <f aca="false">Journal!E73</f>
        <v>Commission TTC sur vente FOOD</v>
      </c>
      <c r="E120" s="27" t="n">
        <f aca="false">N(Journal!H73)</f>
        <v>120</v>
      </c>
      <c r="F120" s="27" t="n">
        <f aca="false">N(Journal!I73)</f>
        <v>0</v>
      </c>
      <c r="G120" s="16" t="n">
        <f aca="false">G119+E120-F120</f>
        <v>-18480</v>
      </c>
    </row>
    <row r="121" customFormat="false" ht="15" hidden="false" customHeight="false" outlineLevel="0" collapsed="false">
      <c r="A121" s="24" t="n">
        <f aca="false">Journal!A78</f>
        <v>22</v>
      </c>
      <c r="B121" s="25" t="n">
        <f aca="false">Journal!B78</f>
        <v>46369.8958333333</v>
      </c>
      <c r="C121" s="26" t="str">
        <f aca="false">Journal!C78</f>
        <v>Vente hors ligne</v>
      </c>
      <c r="D121" s="26" t="str">
        <f aca="false">Journal!E78</f>
        <v>Vente FOOD hors ligne — Jean (commerçant garanti)</v>
      </c>
      <c r="E121" s="27" t="n">
        <f aca="false">N(Journal!H78)</f>
        <v>0</v>
      </c>
      <c r="F121" s="27" t="n">
        <f aca="false">N(Journal!I78)</f>
        <v>9000</v>
      </c>
      <c r="G121" s="16" t="n">
        <f aca="false">G120+E121-F121</f>
        <v>-27480</v>
      </c>
    </row>
    <row r="122" customFormat="false" ht="15" hidden="false" customHeight="false" outlineLevel="0" collapsed="false">
      <c r="A122" s="24" t="n">
        <f aca="false">Journal!A79</f>
        <v>22</v>
      </c>
      <c r="B122" s="25" t="n">
        <f aca="false">Journal!B79</f>
        <v>46369.8958333333</v>
      </c>
      <c r="C122" s="26" t="str">
        <f aca="false">Journal!C79</f>
        <v>Vente hors ligne</v>
      </c>
      <c r="D122" s="26" t="str">
        <f aca="false">Journal!E79</f>
        <v>Commission TTC sur vente FOOD</v>
      </c>
      <c r="E122" s="27" t="n">
        <f aca="false">N(Journal!H79)</f>
        <v>1080</v>
      </c>
      <c r="F122" s="27" t="n">
        <f aca="false">N(Journal!I79)</f>
        <v>0</v>
      </c>
      <c r="G122" s="16" t="n">
        <f aca="false">G121+E122-F122</f>
        <v>-26400</v>
      </c>
    </row>
    <row r="123" customFormat="false" ht="15" hidden="false" customHeight="false" outlineLevel="0" collapsed="false">
      <c r="A123" s="24" t="n">
        <f aca="false">Journal!A97</f>
        <v>30</v>
      </c>
      <c r="B123" s="25" t="n">
        <f aca="false">Journal!B97</f>
        <v>46372.5</v>
      </c>
      <c r="C123" s="26" t="str">
        <f aca="false">Journal!C97</f>
        <v>Droits de place</v>
      </c>
      <c r="D123" s="26" t="str">
        <f aca="false">Journal!E97</f>
        <v>Droit de place TTC Food truck</v>
      </c>
      <c r="E123" s="27" t="n">
        <f aca="false">N(Journal!H97)</f>
        <v>15000</v>
      </c>
      <c r="F123" s="27" t="n">
        <f aca="false">N(Journal!I97)</f>
        <v>0</v>
      </c>
      <c r="G123" s="16" t="n">
        <f aca="false">G122+E123-F123</f>
        <v>-11400</v>
      </c>
    </row>
    <row r="124" customFormat="false" ht="15" hidden="false" customHeight="false" outlineLevel="0" collapsed="false">
      <c r="A124" s="24" t="n">
        <f aca="false">Journal!A108</f>
        <v>33</v>
      </c>
      <c r="B124" s="25" t="n">
        <f aca="false">Journal!B108</f>
        <v>46376.4166666667</v>
      </c>
      <c r="C124" s="26" t="str">
        <f aca="false">Journal!C108</f>
        <v>Versements initiés</v>
      </c>
      <c r="D124" s="26" t="str">
        <f aca="false">Journal!E108</f>
        <v>Versement initié — Food truck</v>
      </c>
      <c r="E124" s="27" t="n">
        <f aca="false">N(Journal!H108)</f>
        <v>11400</v>
      </c>
      <c r="F124" s="27" t="n">
        <f aca="false">N(Journal!I108)</f>
        <v>0</v>
      </c>
      <c r="G124" s="16" t="n">
        <f aca="false">G123+E124-F124</f>
        <v>0</v>
      </c>
    </row>
    <row r="125" customFormat="false" ht="15" hidden="false" customHeight="false" outlineLevel="0" collapsed="false">
      <c r="A125" s="2"/>
      <c r="B125" s="2"/>
      <c r="C125" s="2"/>
      <c r="D125" s="3" t="s">
        <v>543</v>
      </c>
      <c r="E125" s="21" t="n">
        <f aca="false">SUM(E113:E124)</f>
        <v>30000</v>
      </c>
      <c r="F125" s="21" t="n">
        <f aca="false">SUM(F113:F124)</f>
        <v>30000</v>
      </c>
      <c r="G125" s="21" t="n">
        <f aca="false">E125-F125</f>
        <v>0</v>
      </c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</row>
    <row r="127" customFormat="false" ht="15" hidden="false" customHeight="false" outlineLevel="0" collapsed="false">
      <c r="A127" s="22" t="s">
        <v>212</v>
      </c>
      <c r="B127" s="23"/>
      <c r="C127" s="23"/>
      <c r="D127" s="22" t="s">
        <v>213</v>
      </c>
      <c r="E127" s="23"/>
      <c r="F127" s="23"/>
      <c r="G127" s="23"/>
    </row>
    <row r="128" customFormat="false" ht="15" hidden="false" customHeight="false" outlineLevel="0" collapsed="false">
      <c r="A128" s="24" t="n">
        <f aca="false">Journal!A42</f>
        <v>12</v>
      </c>
      <c r="B128" s="25" t="n">
        <f aca="false">Journal!B42</f>
        <v>46367.8541666667</v>
      </c>
      <c r="C128" s="26" t="str">
        <f aca="false">Journal!C42</f>
        <v>Vente</v>
      </c>
      <c r="D128" s="26" t="str">
        <f aca="false">Journal!E42</f>
        <v>Vente TEE — Moussa</v>
      </c>
      <c r="E128" s="27" t="n">
        <f aca="false">N(Journal!H42)</f>
        <v>0</v>
      </c>
      <c r="F128" s="27" t="n">
        <f aca="false">N(Journal!I42)</f>
        <v>12000</v>
      </c>
      <c r="G128" s="16" t="n">
        <f aca="false">E128-F128</f>
        <v>-12000</v>
      </c>
    </row>
    <row r="129" customFormat="false" ht="15" hidden="false" customHeight="false" outlineLevel="0" collapsed="false">
      <c r="A129" s="24" t="n">
        <f aca="false">Journal!A43</f>
        <v>12</v>
      </c>
      <c r="B129" s="25" t="n">
        <f aca="false">Journal!B43</f>
        <v>46367.8541666667</v>
      </c>
      <c r="C129" s="26" t="str">
        <f aca="false">Journal!C43</f>
        <v>Vente</v>
      </c>
      <c r="D129" s="26" t="str">
        <f aca="false">Journal!E43</f>
        <v>Commission TTC sur vente TEE</v>
      </c>
      <c r="E129" s="27" t="n">
        <f aca="false">N(Journal!H43)</f>
        <v>1200</v>
      </c>
      <c r="F129" s="27" t="n">
        <f aca="false">N(Journal!I43)</f>
        <v>0</v>
      </c>
      <c r="G129" s="16" t="n">
        <f aca="false">G128+E129-F129</f>
        <v>-10800</v>
      </c>
    </row>
    <row r="130" customFormat="false" ht="15" hidden="false" customHeight="false" outlineLevel="0" collapsed="false">
      <c r="A130" s="24" t="n">
        <f aca="false">Journal!A60</f>
        <v>18</v>
      </c>
      <c r="B130" s="25" t="n">
        <f aca="false">Journal!B60</f>
        <v>46368.8472222222</v>
      </c>
      <c r="C130" s="26" t="str">
        <f aca="false">Journal!C60</f>
        <v>Vente</v>
      </c>
      <c r="D130" s="26" t="str">
        <f aca="false">Journal!E60</f>
        <v>Vente TEE — Aminata</v>
      </c>
      <c r="E130" s="27" t="n">
        <f aca="false">N(Journal!H60)</f>
        <v>0</v>
      </c>
      <c r="F130" s="27" t="n">
        <f aca="false">N(Journal!I60)</f>
        <v>8000</v>
      </c>
      <c r="G130" s="16" t="n">
        <f aca="false">G129+E130-F130</f>
        <v>-18800</v>
      </c>
    </row>
    <row r="131" customFormat="false" ht="15" hidden="false" customHeight="false" outlineLevel="0" collapsed="false">
      <c r="A131" s="24" t="n">
        <f aca="false">Journal!A61</f>
        <v>18</v>
      </c>
      <c r="B131" s="25" t="n">
        <f aca="false">Journal!B61</f>
        <v>46368.8472222222</v>
      </c>
      <c r="C131" s="26" t="str">
        <f aca="false">Journal!C61</f>
        <v>Vente</v>
      </c>
      <c r="D131" s="26" t="str">
        <f aca="false">Journal!E61</f>
        <v>Commission TTC sur vente TEE</v>
      </c>
      <c r="E131" s="27" t="n">
        <f aca="false">N(Journal!H61)</f>
        <v>800</v>
      </c>
      <c r="F131" s="27" t="n">
        <f aca="false">N(Journal!I61)</f>
        <v>0</v>
      </c>
      <c r="G131" s="16" t="n">
        <f aca="false">G130+E131-F131</f>
        <v>-18000</v>
      </c>
    </row>
    <row r="132" customFormat="false" ht="15" hidden="false" customHeight="false" outlineLevel="0" collapsed="false">
      <c r="A132" s="24" t="n">
        <f aca="false">Journal!A98</f>
        <v>30</v>
      </c>
      <c r="B132" s="25" t="n">
        <f aca="false">Journal!B98</f>
        <v>46372.5</v>
      </c>
      <c r="C132" s="26" t="str">
        <f aca="false">Journal!C98</f>
        <v>Droits de place</v>
      </c>
      <c r="D132" s="26" t="str">
        <f aca="false">Journal!E98</f>
        <v>Droit de place TTC Tee-shirts</v>
      </c>
      <c r="E132" s="27" t="n">
        <f aca="false">N(Journal!H98)</f>
        <v>10000</v>
      </c>
      <c r="F132" s="27" t="n">
        <f aca="false">N(Journal!I98)</f>
        <v>0</v>
      </c>
      <c r="G132" s="16" t="n">
        <f aca="false">G131+E132-F132</f>
        <v>-8000</v>
      </c>
    </row>
    <row r="133" customFormat="false" ht="15" hidden="false" customHeight="false" outlineLevel="0" collapsed="false">
      <c r="A133" s="24" t="n">
        <f aca="false">Journal!A109</f>
        <v>33</v>
      </c>
      <c r="B133" s="25" t="n">
        <f aca="false">Journal!B109</f>
        <v>46376.4166666667</v>
      </c>
      <c r="C133" s="26" t="str">
        <f aca="false">Journal!C109</f>
        <v>Versements initiés</v>
      </c>
      <c r="D133" s="26" t="str">
        <f aca="false">Journal!E109</f>
        <v>Versement initié — Tee-shirts</v>
      </c>
      <c r="E133" s="27" t="n">
        <f aca="false">N(Journal!H109)</f>
        <v>8000</v>
      </c>
      <c r="F133" s="27" t="n">
        <f aca="false">N(Journal!I109)</f>
        <v>0</v>
      </c>
      <c r="G133" s="16" t="n">
        <f aca="false">G132+E133-F133</f>
        <v>0</v>
      </c>
    </row>
    <row r="134" customFormat="false" ht="15" hidden="false" customHeight="false" outlineLevel="0" collapsed="false">
      <c r="A134" s="24" t="n">
        <f aca="false">Journal!A117</f>
        <v>35</v>
      </c>
      <c r="B134" s="25" t="n">
        <f aca="false">Journal!B117</f>
        <v>46376.4208333333</v>
      </c>
      <c r="C134" s="26" t="str">
        <f aca="false">Journal!C117</f>
        <v>Versement échoué</v>
      </c>
      <c r="D134" s="26" t="str">
        <f aca="false">Journal!E117</f>
        <v>Échec : montant recrédité au commerçant</v>
      </c>
      <c r="E134" s="27" t="n">
        <f aca="false">N(Journal!H117)</f>
        <v>0</v>
      </c>
      <c r="F134" s="27" t="n">
        <f aca="false">N(Journal!I117)</f>
        <v>8000</v>
      </c>
      <c r="G134" s="16" t="n">
        <f aca="false">G133+E134-F134</f>
        <v>-8000</v>
      </c>
    </row>
    <row r="135" customFormat="false" ht="15" hidden="false" customHeight="false" outlineLevel="0" collapsed="false">
      <c r="A135" s="24" t="n">
        <f aca="false">Journal!A124</f>
        <v>39</v>
      </c>
      <c r="B135" s="25" t="n">
        <f aca="false">Journal!B124</f>
        <v>46378.375</v>
      </c>
      <c r="C135" s="26" t="str">
        <f aca="false">Journal!C124</f>
        <v>Versement initié</v>
      </c>
      <c r="D135" s="26" t="str">
        <f aca="false">Journal!E124</f>
        <v>Versement initié (2e tentative, numéro corrigé) — Tee-shirts</v>
      </c>
      <c r="E135" s="27" t="n">
        <f aca="false">N(Journal!H124)</f>
        <v>8000</v>
      </c>
      <c r="F135" s="27" t="n">
        <f aca="false">N(Journal!I124)</f>
        <v>0</v>
      </c>
      <c r="G135" s="16" t="n">
        <f aca="false">G134+E135-F135</f>
        <v>0</v>
      </c>
    </row>
    <row r="136" customFormat="false" ht="15" hidden="false" customHeight="false" outlineLevel="0" collapsed="false">
      <c r="A136" s="2"/>
      <c r="B136" s="2"/>
      <c r="C136" s="2"/>
      <c r="D136" s="3" t="s">
        <v>544</v>
      </c>
      <c r="E136" s="21" t="n">
        <f aca="false">SUM(E128:E135)</f>
        <v>28000</v>
      </c>
      <c r="F136" s="21" t="n">
        <f aca="false">SUM(F128:F135)</f>
        <v>28000</v>
      </c>
      <c r="G136" s="21" t="n">
        <f aca="false">E136-F136</f>
        <v>0</v>
      </c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</row>
    <row r="138" customFormat="false" ht="15" hidden="false" customHeight="false" outlineLevel="0" collapsed="false">
      <c r="A138" s="22" t="s">
        <v>214</v>
      </c>
      <c r="B138" s="23"/>
      <c r="C138" s="23"/>
      <c r="D138" s="22" t="s">
        <v>215</v>
      </c>
      <c r="E138" s="23"/>
      <c r="F138" s="23"/>
      <c r="G138" s="23"/>
    </row>
    <row r="139" customFormat="false" ht="15" hidden="false" customHeight="false" outlineLevel="0" collapsed="false">
      <c r="A139" s="24" t="n">
        <f aca="false">Journal!A37</f>
        <v>10</v>
      </c>
      <c r="B139" s="25" t="n">
        <f aca="false">Journal!B37</f>
        <v>46367.7986111111</v>
      </c>
      <c r="C139" s="26" t="str">
        <f aca="false">Journal!C37</f>
        <v>Vente</v>
      </c>
      <c r="D139" s="26" t="str">
        <f aca="false">Journal!E37</f>
        <v>Commission sur vente FOOD (HT)</v>
      </c>
      <c r="E139" s="27" t="n">
        <f aca="false">N(Journal!H37)</f>
        <v>0</v>
      </c>
      <c r="F139" s="27" t="n">
        <f aca="false">N(Journal!I37)</f>
        <v>610</v>
      </c>
      <c r="G139" s="16" t="n">
        <f aca="false">E139-F139</f>
        <v>-610</v>
      </c>
    </row>
    <row r="140" customFormat="false" ht="15" hidden="false" customHeight="false" outlineLevel="0" collapsed="false">
      <c r="A140" s="24" t="n">
        <f aca="false">Journal!A44</f>
        <v>12</v>
      </c>
      <c r="B140" s="25" t="n">
        <f aca="false">Journal!B44</f>
        <v>46367.8541666667</v>
      </c>
      <c r="C140" s="26" t="str">
        <f aca="false">Journal!C44</f>
        <v>Vente</v>
      </c>
      <c r="D140" s="26" t="str">
        <f aca="false">Journal!E44</f>
        <v>Commission sur vente TEE (HT)</v>
      </c>
      <c r="E140" s="27" t="n">
        <f aca="false">N(Journal!H44)</f>
        <v>0</v>
      </c>
      <c r="F140" s="27" t="n">
        <f aca="false">N(Journal!I44)</f>
        <v>1017</v>
      </c>
      <c r="G140" s="16" t="n">
        <f aca="false">G139+E140-F140</f>
        <v>-1627</v>
      </c>
    </row>
    <row r="141" customFormat="false" ht="15" hidden="false" customHeight="false" outlineLevel="0" collapsed="false">
      <c r="A141" s="24" t="n">
        <f aca="false">Journal!A49</f>
        <v>13</v>
      </c>
      <c r="B141" s="25" t="n">
        <f aca="false">Journal!B49</f>
        <v>46367.875</v>
      </c>
      <c r="C141" s="26" t="str">
        <f aca="false">Journal!C49</f>
        <v>Vente</v>
      </c>
      <c r="D141" s="26" t="str">
        <f aca="false">Journal!E49</f>
        <v>Commission sur vente FOOD (HT)</v>
      </c>
      <c r="E141" s="27" t="n">
        <f aca="false">N(Journal!H49)</f>
        <v>0</v>
      </c>
      <c r="F141" s="27" t="n">
        <f aca="false">N(Journal!I49)</f>
        <v>915</v>
      </c>
      <c r="G141" s="16" t="n">
        <f aca="false">G140+E141-F141</f>
        <v>-2542</v>
      </c>
    </row>
    <row r="142" customFormat="false" ht="15" hidden="false" customHeight="false" outlineLevel="0" collapsed="false">
      <c r="A142" s="24" t="n">
        <f aca="false">Journal!A62</f>
        <v>18</v>
      </c>
      <c r="B142" s="25" t="n">
        <f aca="false">Journal!B62</f>
        <v>46368.8472222222</v>
      </c>
      <c r="C142" s="26" t="str">
        <f aca="false">Journal!C62</f>
        <v>Vente</v>
      </c>
      <c r="D142" s="26" t="str">
        <f aca="false">Journal!E62</f>
        <v>Commission sur vente TEE (HT)</v>
      </c>
      <c r="E142" s="27" t="n">
        <f aca="false">N(Journal!H62)</f>
        <v>0</v>
      </c>
      <c r="F142" s="27" t="n">
        <f aca="false">N(Journal!I62)</f>
        <v>678</v>
      </c>
      <c r="G142" s="16" t="n">
        <f aca="false">G141+E142-F142</f>
        <v>-3220</v>
      </c>
    </row>
    <row r="143" customFormat="false" ht="15" hidden="false" customHeight="false" outlineLevel="0" collapsed="false">
      <c r="A143" s="24" t="n">
        <f aca="false">Journal!A67</f>
        <v>19</v>
      </c>
      <c r="B143" s="25" t="n">
        <f aca="false">Journal!B67</f>
        <v>46368.90625</v>
      </c>
      <c r="C143" s="26" t="str">
        <f aca="false">Journal!C67</f>
        <v>Vente</v>
      </c>
      <c r="D143" s="26" t="str">
        <f aca="false">Journal!E67</f>
        <v>Commission sur vente FOOD (HT)</v>
      </c>
      <c r="E143" s="27" t="n">
        <f aca="false">N(Journal!H67)</f>
        <v>0</v>
      </c>
      <c r="F143" s="27" t="n">
        <f aca="false">N(Journal!I67)</f>
        <v>508</v>
      </c>
      <c r="G143" s="16" t="n">
        <f aca="false">G142+E143-F143</f>
        <v>-3728</v>
      </c>
    </row>
    <row r="144" customFormat="false" ht="15" hidden="false" customHeight="false" outlineLevel="0" collapsed="false">
      <c r="A144" s="24" t="n">
        <f aca="false">Journal!A74</f>
        <v>21</v>
      </c>
      <c r="B144" s="25" t="n">
        <f aca="false">Journal!B74</f>
        <v>46369.5416666667</v>
      </c>
      <c r="C144" s="26" t="str">
        <f aca="false">Journal!C74</f>
        <v>Vente</v>
      </c>
      <c r="D144" s="26" t="str">
        <f aca="false">Journal!E74</f>
        <v>Commission sur vente FOOD (HT)</v>
      </c>
      <c r="E144" s="27" t="n">
        <f aca="false">N(Journal!H74)</f>
        <v>0</v>
      </c>
      <c r="F144" s="27" t="n">
        <f aca="false">N(Journal!I74)</f>
        <v>102</v>
      </c>
      <c r="G144" s="16" t="n">
        <f aca="false">G143+E144-F144</f>
        <v>-3830</v>
      </c>
    </row>
    <row r="145" customFormat="false" ht="15" hidden="false" customHeight="false" outlineLevel="0" collapsed="false">
      <c r="A145" s="24" t="n">
        <f aca="false">Journal!A80</f>
        <v>22</v>
      </c>
      <c r="B145" s="25" t="n">
        <f aca="false">Journal!B80</f>
        <v>46369.8958333333</v>
      </c>
      <c r="C145" s="26" t="str">
        <f aca="false">Journal!C80</f>
        <v>Vente hors ligne</v>
      </c>
      <c r="D145" s="26" t="str">
        <f aca="false">Journal!E80</f>
        <v>Commission sur vente FOOD (HT)</v>
      </c>
      <c r="E145" s="27" t="n">
        <f aca="false">N(Journal!H80)</f>
        <v>0</v>
      </c>
      <c r="F145" s="27" t="n">
        <f aca="false">N(Journal!I80)</f>
        <v>915</v>
      </c>
      <c r="G145" s="16" t="n">
        <f aca="false">G144+E145-F145</f>
        <v>-4745</v>
      </c>
    </row>
    <row r="146" customFormat="false" ht="15" hidden="false" customHeight="false" outlineLevel="0" collapsed="false">
      <c r="A146" s="2"/>
      <c r="B146" s="2"/>
      <c r="C146" s="2"/>
      <c r="D146" s="3" t="s">
        <v>545</v>
      </c>
      <c r="E146" s="21" t="n">
        <f aca="false">SUM(E139:E145)</f>
        <v>0</v>
      </c>
      <c r="F146" s="21" t="n">
        <f aca="false">SUM(F139:F145)</f>
        <v>4745</v>
      </c>
      <c r="G146" s="21" t="n">
        <f aca="false">E146-F146</f>
        <v>-4745</v>
      </c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</row>
    <row r="148" customFormat="false" ht="15" hidden="false" customHeight="false" outlineLevel="0" collapsed="false">
      <c r="A148" s="22" t="s">
        <v>218</v>
      </c>
      <c r="B148" s="23"/>
      <c r="C148" s="23"/>
      <c r="D148" s="22" t="s">
        <v>219</v>
      </c>
      <c r="E148" s="23"/>
      <c r="F148" s="23"/>
      <c r="G148" s="23"/>
    </row>
    <row r="149" customFormat="false" ht="15" hidden="false" customHeight="false" outlineLevel="0" collapsed="false">
      <c r="A149" s="24" t="n">
        <f aca="false">Journal!A99</f>
        <v>30</v>
      </c>
      <c r="B149" s="25" t="n">
        <f aca="false">Journal!B99</f>
        <v>46372.5</v>
      </c>
      <c r="C149" s="26" t="str">
        <f aca="false">Journal!C99</f>
        <v>Droits de place</v>
      </c>
      <c r="D149" s="26" t="str">
        <f aca="false">Journal!E99</f>
        <v>Droits de place perçus (HT)</v>
      </c>
      <c r="E149" s="27" t="n">
        <f aca="false">N(Journal!H99)</f>
        <v>0</v>
      </c>
      <c r="F149" s="27" t="n">
        <f aca="false">N(Journal!I99)</f>
        <v>21186</v>
      </c>
      <c r="G149" s="16" t="n">
        <f aca="false">E149-F149</f>
        <v>-21186</v>
      </c>
    </row>
    <row r="150" customFormat="false" ht="15" hidden="false" customHeight="false" outlineLevel="0" collapsed="false">
      <c r="A150" s="2"/>
      <c r="B150" s="2"/>
      <c r="C150" s="2"/>
      <c r="D150" s="3" t="s">
        <v>546</v>
      </c>
      <c r="E150" s="21" t="n">
        <f aca="false">SUM(E149:E149)</f>
        <v>0</v>
      </c>
      <c r="F150" s="21" t="n">
        <f aca="false">SUM(F149:F149)</f>
        <v>21186</v>
      </c>
      <c r="G150" s="21" t="n">
        <f aca="false">E150-F150</f>
        <v>-21186</v>
      </c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</row>
    <row r="152" customFormat="false" ht="15" hidden="false" customHeight="false" outlineLevel="0" collapsed="false">
      <c r="A152" s="22" t="s">
        <v>221</v>
      </c>
      <c r="B152" s="23"/>
      <c r="C152" s="23"/>
      <c r="D152" s="22" t="s">
        <v>222</v>
      </c>
      <c r="E152" s="23"/>
      <c r="F152" s="23"/>
      <c r="G152" s="23"/>
    </row>
    <row r="153" customFormat="false" ht="15" hidden="false" customHeight="false" outlineLevel="0" collapsed="false">
      <c r="A153" s="24" t="n">
        <f aca="false">Journal!A32</f>
        <v>9</v>
      </c>
      <c r="B153" s="25" t="n">
        <f aca="false">Journal!B32</f>
        <v>46367.7708333333</v>
      </c>
      <c r="C153" s="26" t="str">
        <f aca="false">Journal!C32</f>
        <v>Frais d'activation</v>
      </c>
      <c r="D153" s="26" t="str">
        <f aca="false">Journal!E32</f>
        <v>Frais d'activation perçus (5 bracelets) (HT)</v>
      </c>
      <c r="E153" s="27" t="n">
        <f aca="false">N(Journal!H32)</f>
        <v>0</v>
      </c>
      <c r="F153" s="27" t="n">
        <f aca="false">N(Journal!I32)</f>
        <v>4237</v>
      </c>
      <c r="G153" s="16" t="n">
        <f aca="false">E153-F153</f>
        <v>-4237</v>
      </c>
    </row>
    <row r="154" customFormat="false" ht="15" hidden="false" customHeight="false" outlineLevel="0" collapsed="false">
      <c r="A154" s="24" t="n">
        <f aca="false">Journal!A129</f>
        <v>41</v>
      </c>
      <c r="B154" s="25" t="n">
        <f aca="false">Journal!B129</f>
        <v>46378.5833333333</v>
      </c>
      <c r="C154" s="26" t="str">
        <f aca="false">Journal!C129</f>
        <v>Remboursement</v>
      </c>
      <c r="D154" s="26" t="str">
        <f aca="false">Journal!E129</f>
        <v>Frais de remboursement — Moussa (HT)</v>
      </c>
      <c r="E154" s="27" t="n">
        <f aca="false">N(Journal!H129)</f>
        <v>0</v>
      </c>
      <c r="F154" s="27" t="n">
        <f aca="false">N(Journal!I129)</f>
        <v>424</v>
      </c>
      <c r="G154" s="16" t="n">
        <f aca="false">G153+E154-F154</f>
        <v>-4661</v>
      </c>
    </row>
    <row r="155" customFormat="false" ht="15" hidden="false" customHeight="false" outlineLevel="0" collapsed="false">
      <c r="A155" s="24" t="n">
        <f aca="false">Journal!A134</f>
        <v>42</v>
      </c>
      <c r="B155" s="25" t="n">
        <f aca="false">Journal!B134</f>
        <v>46392.4583333333</v>
      </c>
      <c r="C155" s="26" t="str">
        <f aca="false">Journal!C134</f>
        <v>Remboursement</v>
      </c>
      <c r="D155" s="26" t="str">
        <f aca="false">Journal!E134</f>
        <v>Frais de remboursement — Fatou (HT)</v>
      </c>
      <c r="E155" s="27" t="n">
        <f aca="false">N(Journal!H134)</f>
        <v>0</v>
      </c>
      <c r="F155" s="27" t="n">
        <f aca="false">N(Journal!I134)</f>
        <v>424</v>
      </c>
      <c r="G155" s="16" t="n">
        <f aca="false">G154+E155-F155</f>
        <v>-5085</v>
      </c>
    </row>
    <row r="156" customFormat="false" ht="15" hidden="false" customHeight="false" outlineLevel="0" collapsed="false">
      <c r="A156" s="2"/>
      <c r="B156" s="2"/>
      <c r="C156" s="2"/>
      <c r="D156" s="3" t="s">
        <v>547</v>
      </c>
      <c r="E156" s="21" t="n">
        <f aca="false">SUM(E153:E155)</f>
        <v>0</v>
      </c>
      <c r="F156" s="21" t="n">
        <f aca="false">SUM(F153:F155)</f>
        <v>5085</v>
      </c>
      <c r="G156" s="21" t="n">
        <f aca="false">E156-F156</f>
        <v>-5085</v>
      </c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</row>
    <row r="158" customFormat="false" ht="15" hidden="false" customHeight="false" outlineLevel="0" collapsed="false">
      <c r="A158" s="22" t="s">
        <v>224</v>
      </c>
      <c r="B158" s="23"/>
      <c r="C158" s="23"/>
      <c r="D158" s="22" t="s">
        <v>225</v>
      </c>
      <c r="E158" s="23"/>
      <c r="F158" s="23"/>
      <c r="G158" s="23"/>
    </row>
    <row r="159" customFormat="false" ht="15" hidden="false" customHeight="false" outlineLevel="0" collapsed="false">
      <c r="A159" s="24" t="n">
        <f aca="false">Journal!A33</f>
        <v>9</v>
      </c>
      <c r="B159" s="25" t="n">
        <f aca="false">Journal!B33</f>
        <v>46367.7708333333</v>
      </c>
      <c r="C159" s="26" t="str">
        <f aca="false">Journal!C33</f>
        <v>Frais d'activation</v>
      </c>
      <c r="D159" s="26" t="str">
        <f aca="false">Journal!E33</f>
        <v>Frais d'activation perçus (5 bracelets) (taxe collectée)</v>
      </c>
      <c r="E159" s="27" t="n">
        <f aca="false">N(Journal!H33)</f>
        <v>0</v>
      </c>
      <c r="F159" s="27" t="n">
        <f aca="false">N(Journal!I33)</f>
        <v>763</v>
      </c>
      <c r="G159" s="16" t="n">
        <f aca="false">E159-F159</f>
        <v>-763</v>
      </c>
    </row>
    <row r="160" customFormat="false" ht="15" hidden="false" customHeight="false" outlineLevel="0" collapsed="false">
      <c r="A160" s="24" t="n">
        <f aca="false">Journal!A38</f>
        <v>10</v>
      </c>
      <c r="B160" s="25" t="n">
        <f aca="false">Journal!B38</f>
        <v>46367.7986111111</v>
      </c>
      <c r="C160" s="26" t="str">
        <f aca="false">Journal!C38</f>
        <v>Vente</v>
      </c>
      <c r="D160" s="26" t="str">
        <f aca="false">Journal!E38</f>
        <v>Commission sur vente FOOD (taxe collectée)</v>
      </c>
      <c r="E160" s="27" t="n">
        <f aca="false">N(Journal!H38)</f>
        <v>0</v>
      </c>
      <c r="F160" s="27" t="n">
        <f aca="false">N(Journal!I38)</f>
        <v>110</v>
      </c>
      <c r="G160" s="16" t="n">
        <f aca="false">G159+E160-F160</f>
        <v>-873</v>
      </c>
    </row>
    <row r="161" customFormat="false" ht="15" hidden="false" customHeight="false" outlineLevel="0" collapsed="false">
      <c r="A161" s="24" t="n">
        <f aca="false">Journal!A45</f>
        <v>12</v>
      </c>
      <c r="B161" s="25" t="n">
        <f aca="false">Journal!B45</f>
        <v>46367.8541666667</v>
      </c>
      <c r="C161" s="26" t="str">
        <f aca="false">Journal!C45</f>
        <v>Vente</v>
      </c>
      <c r="D161" s="26" t="str">
        <f aca="false">Journal!E45</f>
        <v>Commission sur vente TEE (taxe collectée)</v>
      </c>
      <c r="E161" s="27" t="n">
        <f aca="false">N(Journal!H45)</f>
        <v>0</v>
      </c>
      <c r="F161" s="27" t="n">
        <f aca="false">N(Journal!I45)</f>
        <v>183</v>
      </c>
      <c r="G161" s="16" t="n">
        <f aca="false">G160+E161-F161</f>
        <v>-1056</v>
      </c>
    </row>
    <row r="162" customFormat="false" ht="15" hidden="false" customHeight="false" outlineLevel="0" collapsed="false">
      <c r="A162" s="24" t="n">
        <f aca="false">Journal!A50</f>
        <v>13</v>
      </c>
      <c r="B162" s="25" t="n">
        <f aca="false">Journal!B50</f>
        <v>46367.875</v>
      </c>
      <c r="C162" s="26" t="str">
        <f aca="false">Journal!C50</f>
        <v>Vente</v>
      </c>
      <c r="D162" s="26" t="str">
        <f aca="false">Journal!E50</f>
        <v>Commission sur vente FOOD (taxe collectée)</v>
      </c>
      <c r="E162" s="27" t="n">
        <f aca="false">N(Journal!H50)</f>
        <v>0</v>
      </c>
      <c r="F162" s="27" t="n">
        <f aca="false">N(Journal!I50)</f>
        <v>165</v>
      </c>
      <c r="G162" s="16" t="n">
        <f aca="false">G161+E162-F162</f>
        <v>-1221</v>
      </c>
    </row>
    <row r="163" customFormat="false" ht="15" hidden="false" customHeight="false" outlineLevel="0" collapsed="false">
      <c r="A163" s="24" t="n">
        <f aca="false">Journal!A63</f>
        <v>18</v>
      </c>
      <c r="B163" s="25" t="n">
        <f aca="false">Journal!B63</f>
        <v>46368.8472222222</v>
      </c>
      <c r="C163" s="26" t="str">
        <f aca="false">Journal!C63</f>
        <v>Vente</v>
      </c>
      <c r="D163" s="26" t="str">
        <f aca="false">Journal!E63</f>
        <v>Commission sur vente TEE (taxe collectée)</v>
      </c>
      <c r="E163" s="27" t="n">
        <f aca="false">N(Journal!H63)</f>
        <v>0</v>
      </c>
      <c r="F163" s="27" t="n">
        <f aca="false">N(Journal!I63)</f>
        <v>122</v>
      </c>
      <c r="G163" s="16" t="n">
        <f aca="false">G162+E163-F163</f>
        <v>-1343</v>
      </c>
    </row>
    <row r="164" customFormat="false" ht="15" hidden="false" customHeight="false" outlineLevel="0" collapsed="false">
      <c r="A164" s="24" t="n">
        <f aca="false">Journal!A68</f>
        <v>19</v>
      </c>
      <c r="B164" s="25" t="n">
        <f aca="false">Journal!B68</f>
        <v>46368.90625</v>
      </c>
      <c r="C164" s="26" t="str">
        <f aca="false">Journal!C68</f>
        <v>Vente</v>
      </c>
      <c r="D164" s="26" t="str">
        <f aca="false">Journal!E68</f>
        <v>Commission sur vente FOOD (taxe collectée)</v>
      </c>
      <c r="E164" s="27" t="n">
        <f aca="false">N(Journal!H68)</f>
        <v>0</v>
      </c>
      <c r="F164" s="27" t="n">
        <f aca="false">N(Journal!I68)</f>
        <v>92</v>
      </c>
      <c r="G164" s="16" t="n">
        <f aca="false">G163+E164-F164</f>
        <v>-1435</v>
      </c>
    </row>
    <row r="165" customFormat="false" ht="15" hidden="false" customHeight="false" outlineLevel="0" collapsed="false">
      <c r="A165" s="24" t="n">
        <f aca="false">Journal!A75</f>
        <v>21</v>
      </c>
      <c r="B165" s="25" t="n">
        <f aca="false">Journal!B75</f>
        <v>46369.5416666667</v>
      </c>
      <c r="C165" s="26" t="str">
        <f aca="false">Journal!C75</f>
        <v>Vente</v>
      </c>
      <c r="D165" s="26" t="str">
        <f aca="false">Journal!E75</f>
        <v>Commission sur vente FOOD (taxe collectée)</v>
      </c>
      <c r="E165" s="27" t="n">
        <f aca="false">N(Journal!H75)</f>
        <v>0</v>
      </c>
      <c r="F165" s="27" t="n">
        <f aca="false">N(Journal!I75)</f>
        <v>18</v>
      </c>
      <c r="G165" s="16" t="n">
        <f aca="false">G164+E165-F165</f>
        <v>-1453</v>
      </c>
    </row>
    <row r="166" customFormat="false" ht="15" hidden="false" customHeight="false" outlineLevel="0" collapsed="false">
      <c r="A166" s="24" t="n">
        <f aca="false">Journal!A81</f>
        <v>22</v>
      </c>
      <c r="B166" s="25" t="n">
        <f aca="false">Journal!B81</f>
        <v>46369.8958333333</v>
      </c>
      <c r="C166" s="26" t="str">
        <f aca="false">Journal!C81</f>
        <v>Vente hors ligne</v>
      </c>
      <c r="D166" s="26" t="str">
        <f aca="false">Journal!E81</f>
        <v>Commission sur vente FOOD (taxe collectée)</v>
      </c>
      <c r="E166" s="27" t="n">
        <f aca="false">N(Journal!H81)</f>
        <v>0</v>
      </c>
      <c r="F166" s="27" t="n">
        <f aca="false">N(Journal!I81)</f>
        <v>165</v>
      </c>
      <c r="G166" s="16" t="n">
        <f aca="false">G165+E166-F166</f>
        <v>-1618</v>
      </c>
    </row>
    <row r="167" customFormat="false" ht="15" hidden="false" customHeight="false" outlineLevel="0" collapsed="false">
      <c r="A167" s="24" t="n">
        <f aca="false">Journal!A100</f>
        <v>30</v>
      </c>
      <c r="B167" s="25" t="n">
        <f aca="false">Journal!B100</f>
        <v>46372.5</v>
      </c>
      <c r="C167" s="26" t="str">
        <f aca="false">Journal!C100</f>
        <v>Droits de place</v>
      </c>
      <c r="D167" s="26" t="str">
        <f aca="false">Journal!E100</f>
        <v>Droits de place perçus (taxe collectée)</v>
      </c>
      <c r="E167" s="27" t="n">
        <f aca="false">N(Journal!H100)</f>
        <v>0</v>
      </c>
      <c r="F167" s="27" t="n">
        <f aca="false">N(Journal!I100)</f>
        <v>3814</v>
      </c>
      <c r="G167" s="16" t="n">
        <f aca="false">G166+E167-F167</f>
        <v>-5432</v>
      </c>
    </row>
    <row r="168" customFormat="false" ht="15" hidden="false" customHeight="false" outlineLevel="0" collapsed="false">
      <c r="A168" s="24" t="n">
        <f aca="false">Journal!A130</f>
        <v>41</v>
      </c>
      <c r="B168" s="25" t="n">
        <f aca="false">Journal!B130</f>
        <v>46378.5833333333</v>
      </c>
      <c r="C168" s="26" t="str">
        <f aca="false">Journal!C130</f>
        <v>Remboursement</v>
      </c>
      <c r="D168" s="26" t="str">
        <f aca="false">Journal!E130</f>
        <v>Frais de remboursement — Moussa (taxe collectée)</v>
      </c>
      <c r="E168" s="27" t="n">
        <f aca="false">N(Journal!H130)</f>
        <v>0</v>
      </c>
      <c r="F168" s="27" t="n">
        <f aca="false">N(Journal!I130)</f>
        <v>76</v>
      </c>
      <c r="G168" s="16" t="n">
        <f aca="false">G167+E168-F168</f>
        <v>-5508</v>
      </c>
    </row>
    <row r="169" customFormat="false" ht="15" hidden="false" customHeight="false" outlineLevel="0" collapsed="false">
      <c r="A169" s="24" t="n">
        <f aca="false">Journal!A135</f>
        <v>42</v>
      </c>
      <c r="B169" s="25" t="n">
        <f aca="false">Journal!B135</f>
        <v>46392.4583333333</v>
      </c>
      <c r="C169" s="26" t="str">
        <f aca="false">Journal!C135</f>
        <v>Remboursement</v>
      </c>
      <c r="D169" s="26" t="str">
        <f aca="false">Journal!E135</f>
        <v>Frais de remboursement — Fatou (taxe collectée)</v>
      </c>
      <c r="E169" s="27" t="n">
        <f aca="false">N(Journal!H135)</f>
        <v>0</v>
      </c>
      <c r="F169" s="27" t="n">
        <f aca="false">N(Journal!I135)</f>
        <v>76</v>
      </c>
      <c r="G169" s="16" t="n">
        <f aca="false">G168+E169-F169</f>
        <v>-5584</v>
      </c>
    </row>
    <row r="170" customFormat="false" ht="15" hidden="false" customHeight="false" outlineLevel="0" collapsed="false">
      <c r="A170" s="2"/>
      <c r="B170" s="2"/>
      <c r="C170" s="2"/>
      <c r="D170" s="3" t="s">
        <v>548</v>
      </c>
      <c r="E170" s="21" t="n">
        <f aca="false">SUM(E159:E169)</f>
        <v>0</v>
      </c>
      <c r="F170" s="21" t="n">
        <f aca="false">SUM(F159:F169)</f>
        <v>5584</v>
      </c>
      <c r="G170" s="21" t="n">
        <f aca="false">E170-F170</f>
        <v>-5584</v>
      </c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</row>
    <row r="172" customFormat="false" ht="15" hidden="false" customHeight="false" outlineLevel="0" collapsed="false">
      <c r="A172" s="22" t="s">
        <v>228</v>
      </c>
      <c r="B172" s="23"/>
      <c r="C172" s="23"/>
      <c r="D172" s="22" t="s">
        <v>229</v>
      </c>
      <c r="E172" s="23"/>
      <c r="F172" s="23"/>
      <c r="G172" s="23"/>
    </row>
    <row r="173" customFormat="false" ht="15" hidden="false" customHeight="false" outlineLevel="0" collapsed="false">
      <c r="A173" s="24" t="n">
        <f aca="false">Journal!A140</f>
        <v>43</v>
      </c>
      <c r="B173" s="25" t="n">
        <f aca="false">Journal!B140</f>
        <v>46433</v>
      </c>
      <c r="C173" s="26" t="str">
        <f aca="false">Journal!C140</f>
        <v>Casse</v>
      </c>
      <c r="D173" s="26" t="str">
        <f aca="false">Journal!E140</f>
        <v>Casse — part de l'organisateur (contrat)</v>
      </c>
      <c r="E173" s="27" t="n">
        <f aca="false">N(Journal!H140)</f>
        <v>0</v>
      </c>
      <c r="F173" s="27" t="n">
        <f aca="false">N(Journal!I140)</f>
        <v>16000</v>
      </c>
      <c r="G173" s="16" t="n">
        <f aca="false">E173-F173</f>
        <v>-16000</v>
      </c>
    </row>
    <row r="174" customFormat="false" ht="15" hidden="false" customHeight="false" outlineLevel="0" collapsed="false">
      <c r="A174" s="2"/>
      <c r="B174" s="2"/>
      <c r="C174" s="2"/>
      <c r="D174" s="3" t="s">
        <v>549</v>
      </c>
      <c r="E174" s="21" t="n">
        <f aca="false">SUM(E173:E173)</f>
        <v>0</v>
      </c>
      <c r="F174" s="21" t="n">
        <f aca="false">SUM(F173:F173)</f>
        <v>16000</v>
      </c>
      <c r="G174" s="21" t="n">
        <f aca="false">E174-F174</f>
        <v>-16000</v>
      </c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</row>
    <row r="176" customFormat="false" ht="15" hidden="false" customHeight="false" outlineLevel="0" collapsed="false">
      <c r="A176" s="22" t="s">
        <v>232</v>
      </c>
      <c r="B176" s="23"/>
      <c r="C176" s="23"/>
      <c r="D176" s="22" t="s">
        <v>233</v>
      </c>
      <c r="E176" s="23"/>
      <c r="F176" s="23"/>
      <c r="G176" s="23"/>
    </row>
    <row r="177" customFormat="false" ht="15" hidden="false" customHeight="false" outlineLevel="0" collapsed="false">
      <c r="A177" s="24" t="n">
        <f aca="false">Journal!A20</f>
        <v>5</v>
      </c>
      <c r="B177" s="25" t="n">
        <f aca="false">Journal!B20</f>
        <v>46367.7520833333</v>
      </c>
      <c r="C177" s="26" t="str">
        <f aca="false">Journal!C20</f>
        <v>Caution</v>
      </c>
      <c r="D177" s="26" t="str">
        <f aca="false">Journal!E20</f>
        <v>Caution détenue pour le bracelet de Jean</v>
      </c>
      <c r="E177" s="27" t="n">
        <f aca="false">N(Journal!H20)</f>
        <v>0</v>
      </c>
      <c r="F177" s="27" t="n">
        <f aca="false">N(Journal!I20)</f>
        <v>2000</v>
      </c>
      <c r="G177" s="16" t="n">
        <f aca="false">E177-F177</f>
        <v>-2000</v>
      </c>
    </row>
    <row r="178" customFormat="false" ht="15" hidden="false" customHeight="false" outlineLevel="0" collapsed="false">
      <c r="A178" s="24" t="n">
        <f aca="false">Journal!A24</f>
        <v>7</v>
      </c>
      <c r="B178" s="25" t="n">
        <f aca="false">Journal!B24</f>
        <v>46367.7611111111</v>
      </c>
      <c r="C178" s="26" t="str">
        <f aca="false">Journal!C24</f>
        <v>Caution</v>
      </c>
      <c r="D178" s="26" t="str">
        <f aca="false">Journal!E24</f>
        <v>Caution détenue pour le bracelet d'Aminata</v>
      </c>
      <c r="E178" s="27" t="n">
        <f aca="false">N(Journal!H24)</f>
        <v>0</v>
      </c>
      <c r="F178" s="27" t="n">
        <f aca="false">N(Journal!I24)</f>
        <v>2000</v>
      </c>
      <c r="G178" s="16" t="n">
        <f aca="false">G177+E178-F178</f>
        <v>-4000</v>
      </c>
    </row>
    <row r="179" customFormat="false" ht="15" hidden="false" customHeight="false" outlineLevel="0" collapsed="false">
      <c r="A179" s="24" t="n">
        <f aca="false">Journal!A82</f>
        <v>23</v>
      </c>
      <c r="B179" s="25" t="n">
        <f aca="false">Journal!B82</f>
        <v>46369.9791666667</v>
      </c>
      <c r="C179" s="26" t="str">
        <f aca="false">Journal!C82</f>
        <v>Caution rendue</v>
      </c>
      <c r="D179" s="26" t="str">
        <f aca="false">Journal!E82</f>
        <v>Bracelet rendu : caution recréditée sur le solde (mode C) — Aminata</v>
      </c>
      <c r="E179" s="27" t="n">
        <f aca="false">N(Journal!H82)</f>
        <v>2000</v>
      </c>
      <c r="F179" s="27" t="n">
        <f aca="false">N(Journal!I82)</f>
        <v>0</v>
      </c>
      <c r="G179" s="16" t="n">
        <f aca="false">G178+E179-F179</f>
        <v>-2000</v>
      </c>
    </row>
    <row r="180" customFormat="false" ht="15" hidden="false" customHeight="false" outlineLevel="0" collapsed="false">
      <c r="A180" s="24" t="n">
        <f aca="false">Journal!A142</f>
        <v>44</v>
      </c>
      <c r="B180" s="25" t="n">
        <f aca="false">Journal!B142</f>
        <v>46433.0013888889</v>
      </c>
      <c r="C180" s="26" t="str">
        <f aca="false">Journal!C142</f>
        <v>Caution acquise</v>
      </c>
      <c r="D180" s="26" t="str">
        <f aca="false">Journal!E142</f>
        <v>Bracelet jamais rendu à la clôture du lot — Jean</v>
      </c>
      <c r="E180" s="27" t="n">
        <f aca="false">N(Journal!H142)</f>
        <v>2000</v>
      </c>
      <c r="F180" s="27" t="n">
        <f aca="false">N(Journal!I142)</f>
        <v>0</v>
      </c>
      <c r="G180" s="16" t="n">
        <f aca="false">G179+E180-F180</f>
        <v>0</v>
      </c>
    </row>
    <row r="181" customFormat="false" ht="15" hidden="false" customHeight="false" outlineLevel="0" collapsed="false">
      <c r="A181" s="2"/>
      <c r="B181" s="2"/>
      <c r="C181" s="2"/>
      <c r="D181" s="3" t="s">
        <v>550</v>
      </c>
      <c r="E181" s="21" t="n">
        <f aca="false">SUM(E177:E180)</f>
        <v>4000</v>
      </c>
      <c r="F181" s="21" t="n">
        <f aca="false">SUM(F177:F180)</f>
        <v>4000</v>
      </c>
      <c r="G181" s="21" t="n">
        <f aca="false">E181-F181</f>
        <v>0</v>
      </c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</row>
    <row r="183" customFormat="false" ht="15" hidden="false" customHeight="false" outlineLevel="0" collapsed="false">
      <c r="A183" s="22" t="s">
        <v>236</v>
      </c>
      <c r="B183" s="23"/>
      <c r="C183" s="23"/>
      <c r="D183" s="22" t="s">
        <v>237</v>
      </c>
      <c r="E183" s="23"/>
      <c r="F183" s="23"/>
      <c r="G183" s="23"/>
    </row>
    <row r="184" customFormat="false" ht="15" hidden="false" customHeight="false" outlineLevel="0" collapsed="false">
      <c r="A184" s="24" t="n">
        <f aca="false">Journal!A143</f>
        <v>44</v>
      </c>
      <c r="B184" s="25" t="n">
        <f aca="false">Journal!B143</f>
        <v>46433.0013888889</v>
      </c>
      <c r="C184" s="26" t="str">
        <f aca="false">Journal!C143</f>
        <v>Caution acquise</v>
      </c>
      <c r="D184" s="26" t="str">
        <f aca="false">Journal!E143</f>
        <v>Caution acquise par l'organisateur</v>
      </c>
      <c r="E184" s="27" t="n">
        <f aca="false">N(Journal!H143)</f>
        <v>0</v>
      </c>
      <c r="F184" s="27" t="n">
        <f aca="false">N(Journal!I143)</f>
        <v>2000</v>
      </c>
      <c r="G184" s="16" t="n">
        <f aca="false">E184-F184</f>
        <v>-2000</v>
      </c>
    </row>
    <row r="185" customFormat="false" ht="15" hidden="false" customHeight="false" outlineLevel="0" collapsed="false">
      <c r="A185" s="2"/>
      <c r="B185" s="2"/>
      <c r="C185" s="2"/>
      <c r="D185" s="3" t="s">
        <v>551</v>
      </c>
      <c r="E185" s="21" t="n">
        <f aca="false">SUM(E184:E184)</f>
        <v>0</v>
      </c>
      <c r="F185" s="21" t="n">
        <f aca="false">SUM(F184:F184)</f>
        <v>2000</v>
      </c>
      <c r="G185" s="21" t="n">
        <f aca="false">E185-F185</f>
        <v>-2000</v>
      </c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</row>
    <row r="187" customFormat="false" ht="15" hidden="false" customHeight="false" outlineLevel="0" collapsed="false">
      <c r="A187" s="22" t="s">
        <v>240</v>
      </c>
      <c r="B187" s="23"/>
      <c r="C187" s="23"/>
      <c r="D187" s="22" t="s">
        <v>241</v>
      </c>
      <c r="E187" s="23"/>
      <c r="F187" s="23"/>
      <c r="G187" s="23"/>
    </row>
    <row r="188" customFormat="false" ht="15" hidden="false" customHeight="false" outlineLevel="0" collapsed="false">
      <c r="A188" s="24" t="n">
        <f aca="false">Journal!A25</f>
        <v>8</v>
      </c>
      <c r="B188" s="25" t="n">
        <f aca="false">Journal!B25</f>
        <v>46367.7638888889</v>
      </c>
      <c r="C188" s="26" t="str">
        <f aca="false">Journal!C25</f>
        <v>Crédits offerts</v>
      </c>
      <c r="D188" s="26" t="str">
        <f aca="false">Journal!E25</f>
        <v>Crédits staff offerts par l'organisateur — Ibou</v>
      </c>
      <c r="E188" s="27" t="n">
        <f aca="false">N(Journal!H25)</f>
        <v>6000</v>
      </c>
      <c r="F188" s="27" t="n">
        <f aca="false">N(Journal!I25)</f>
        <v>0</v>
      </c>
      <c r="G188" s="16" t="n">
        <f aca="false">E188-F188</f>
        <v>6000</v>
      </c>
    </row>
    <row r="189" customFormat="false" ht="15" hidden="false" customHeight="false" outlineLevel="0" collapsed="false">
      <c r="A189" s="24" t="n">
        <f aca="false">Journal!A145</f>
        <v>45</v>
      </c>
      <c r="B189" s="25" t="n">
        <f aca="false">Journal!B145</f>
        <v>46433.0034722222</v>
      </c>
      <c r="C189" s="26" t="str">
        <f aca="false">Journal!C145</f>
        <v>Expiration crédits offerts</v>
      </c>
      <c r="D189" s="26" t="str">
        <f aca="false">Journal!E145</f>
        <v>Annulation du financement non consommé</v>
      </c>
      <c r="E189" s="27" t="n">
        <f aca="false">N(Journal!H145)</f>
        <v>0</v>
      </c>
      <c r="F189" s="27" t="n">
        <f aca="false">N(Journal!I145)</f>
        <v>1000</v>
      </c>
      <c r="G189" s="16" t="n">
        <f aca="false">G188+E189-F189</f>
        <v>5000</v>
      </c>
    </row>
    <row r="190" customFormat="false" ht="15" hidden="false" customHeight="false" outlineLevel="0" collapsed="false">
      <c r="A190" s="2"/>
      <c r="B190" s="2"/>
      <c r="C190" s="2"/>
      <c r="D190" s="3" t="s">
        <v>552</v>
      </c>
      <c r="E190" s="21" t="n">
        <f aca="false">SUM(E188:E189)</f>
        <v>6000</v>
      </c>
      <c r="F190" s="21" t="n">
        <f aca="false">SUM(F188:F189)</f>
        <v>1000</v>
      </c>
      <c r="G190" s="21" t="n">
        <f aca="false">E190-F190</f>
        <v>5000</v>
      </c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</row>
    <row r="192" customFormat="false" ht="15" hidden="false" customHeight="false" outlineLevel="0" collapsed="false">
      <c r="A192" s="22" t="s">
        <v>244</v>
      </c>
      <c r="B192" s="23"/>
      <c r="C192" s="23"/>
      <c r="D192" s="22" t="s">
        <v>245</v>
      </c>
      <c r="E192" s="23"/>
      <c r="F192" s="23"/>
      <c r="G192" s="23"/>
    </row>
    <row r="193" customFormat="false" ht="15" hidden="false" customHeight="false" outlineLevel="0" collapsed="false">
      <c r="A193" s="24" t="n">
        <f aca="false">Journal!A7</f>
        <v>1</v>
      </c>
      <c r="B193" s="25" t="n">
        <f aca="false">Journal!B7</f>
        <v>46357.425</v>
      </c>
      <c r="C193" s="26" t="str">
        <f aca="false">Journal!C7</f>
        <v>Recharge</v>
      </c>
      <c r="D193" s="26" t="str">
        <f aca="false">Journal!E7</f>
        <v>Commission WAVE supportée par l'organisateur</v>
      </c>
      <c r="E193" s="27" t="n">
        <f aca="false">N(Journal!H7)</f>
        <v>200</v>
      </c>
      <c r="F193" s="27" t="n">
        <f aca="false">N(Journal!I7)</f>
        <v>0</v>
      </c>
      <c r="G193" s="16" t="n">
        <f aca="false">E193-F193</f>
        <v>200</v>
      </c>
    </row>
    <row r="194" customFormat="false" ht="15" hidden="false" customHeight="false" outlineLevel="0" collapsed="false">
      <c r="A194" s="24" t="n">
        <f aca="false">Journal!A11</f>
        <v>2</v>
      </c>
      <c r="B194" s="25" t="n">
        <f aca="false">Journal!B11</f>
        <v>46367.7118055556</v>
      </c>
      <c r="C194" s="26" t="str">
        <f aca="false">Journal!C11</f>
        <v>Recharge</v>
      </c>
      <c r="D194" s="26" t="str">
        <f aca="false">Journal!E11</f>
        <v>Commission OM supportée par l'organisateur</v>
      </c>
      <c r="E194" s="27" t="n">
        <f aca="false">N(Journal!H11)</f>
        <v>225</v>
      </c>
      <c r="F194" s="27" t="n">
        <f aca="false">N(Journal!I11)</f>
        <v>0</v>
      </c>
      <c r="G194" s="16" t="n">
        <f aca="false">G193+E194-F194</f>
        <v>425</v>
      </c>
    </row>
    <row r="195" customFormat="false" ht="15" hidden="false" customHeight="false" outlineLevel="0" collapsed="false">
      <c r="A195" s="24" t="n">
        <f aca="false">Journal!A15</f>
        <v>3</v>
      </c>
      <c r="B195" s="25" t="n">
        <f aca="false">Journal!B15</f>
        <v>46367.7361111111</v>
      </c>
      <c r="C195" s="26" t="str">
        <f aca="false">Journal!C15</f>
        <v>Recharge</v>
      </c>
      <c r="D195" s="26" t="str">
        <f aca="false">Journal!E15</f>
        <v>Commission CARTE supportée par l'organisateur</v>
      </c>
      <c r="E195" s="27" t="n">
        <f aca="false">N(Journal!H15)</f>
        <v>750</v>
      </c>
      <c r="F195" s="27" t="n">
        <f aca="false">N(Journal!I15)</f>
        <v>0</v>
      </c>
      <c r="G195" s="16" t="n">
        <f aca="false">G194+E195-F195</f>
        <v>1175</v>
      </c>
    </row>
    <row r="196" customFormat="false" ht="15" hidden="false" customHeight="false" outlineLevel="0" collapsed="false">
      <c r="A196" s="2"/>
      <c r="B196" s="2"/>
      <c r="C196" s="2"/>
      <c r="D196" s="3" t="s">
        <v>553</v>
      </c>
      <c r="E196" s="21" t="n">
        <f aca="false">SUM(E193:E195)</f>
        <v>1175</v>
      </c>
      <c r="F196" s="21" t="n">
        <f aca="false">SUM(F193:F195)</f>
        <v>0</v>
      </c>
      <c r="G196" s="21" t="n">
        <f aca="false">E196-F196</f>
        <v>1175</v>
      </c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</row>
    <row r="198" customFormat="false" ht="15" hidden="false" customHeight="false" outlineLevel="0" collapsed="false">
      <c r="A198" s="22" t="s">
        <v>248</v>
      </c>
      <c r="B198" s="23"/>
      <c r="C198" s="23"/>
      <c r="D198" s="22" t="s">
        <v>249</v>
      </c>
      <c r="E198" s="23"/>
      <c r="F198" s="23"/>
      <c r="G198" s="23"/>
    </row>
    <row r="199" customFormat="false" ht="15" hidden="false" customHeight="false" outlineLevel="0" collapsed="false">
      <c r="A199" s="24" t="n">
        <f aca="false">Journal!A101</f>
        <v>31</v>
      </c>
      <c r="B199" s="25" t="n">
        <f aca="false">Journal!B101</f>
        <v>46372.5034722222</v>
      </c>
      <c r="C199" s="26" t="str">
        <f aca="false">Journal!C101</f>
        <v>Frais prestataire</v>
      </c>
      <c r="D199" s="26" t="str">
        <f aca="false">Journal!E101</f>
        <v>Frais TTC : % des recharges payées</v>
      </c>
      <c r="E199" s="27" t="n">
        <f aca="false">N(Journal!H101)</f>
        <v>3000</v>
      </c>
      <c r="F199" s="27" t="n">
        <f aca="false">N(Journal!I101)</f>
        <v>0</v>
      </c>
      <c r="G199" s="16" t="n">
        <f aca="false">E199-F199</f>
        <v>3000</v>
      </c>
    </row>
    <row r="200" customFormat="false" ht="15" hidden="false" customHeight="false" outlineLevel="0" collapsed="false">
      <c r="A200" s="24" t="n">
        <f aca="false">Journal!A102</f>
        <v>31</v>
      </c>
      <c r="B200" s="25" t="n">
        <f aca="false">Journal!B102</f>
        <v>46372.5034722222</v>
      </c>
      <c r="C200" s="26" t="str">
        <f aca="false">Journal!C102</f>
        <v>Frais prestataire</v>
      </c>
      <c r="D200" s="26" t="str">
        <f aca="false">Journal!E102</f>
        <v>Frais TTC : par bracelet activé</v>
      </c>
      <c r="E200" s="27" t="n">
        <f aca="false">N(Journal!H102)</f>
        <v>3000</v>
      </c>
      <c r="F200" s="27" t="n">
        <f aca="false">N(Journal!I102)</f>
        <v>0</v>
      </c>
      <c r="G200" s="16" t="n">
        <f aca="false">G199+E200-F200</f>
        <v>6000</v>
      </c>
    </row>
    <row r="201" customFormat="false" ht="15" hidden="false" customHeight="false" outlineLevel="0" collapsed="false">
      <c r="A201" s="2"/>
      <c r="B201" s="2"/>
      <c r="C201" s="2"/>
      <c r="D201" s="3" t="s">
        <v>554</v>
      </c>
      <c r="E201" s="21" t="n">
        <f aca="false">SUM(E199:E200)</f>
        <v>6000</v>
      </c>
      <c r="F201" s="21" t="n">
        <f aca="false">SUM(F199:F200)</f>
        <v>0</v>
      </c>
      <c r="G201" s="21" t="n">
        <f aca="false">E201-F201</f>
        <v>6000</v>
      </c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</row>
    <row r="203" customFormat="false" ht="15" hidden="false" customHeight="false" outlineLevel="0" collapsed="false">
      <c r="A203" s="22" t="s">
        <v>252</v>
      </c>
      <c r="B203" s="23"/>
      <c r="C203" s="23"/>
      <c r="D203" s="22" t="s">
        <v>253</v>
      </c>
      <c r="E203" s="23"/>
      <c r="F203" s="23"/>
      <c r="G203" s="23"/>
    </row>
    <row r="204" customFormat="false" ht="15" hidden="false" customHeight="false" outlineLevel="0" collapsed="false">
      <c r="A204" s="24" t="n">
        <f aca="false">Journal!A85</f>
        <v>24</v>
      </c>
      <c r="B204" s="25" t="n">
        <f aca="false">Journal!B85</f>
        <v>46370.0416666667</v>
      </c>
      <c r="C204" s="26" t="str">
        <f aca="false">Journal!C85</f>
        <v>Fermeture caisse</v>
      </c>
      <c r="D204" s="26" t="str">
        <f aca="false">Journal!E85</f>
        <v>Écart de caisse (manque / surplus)</v>
      </c>
      <c r="E204" s="27" t="n">
        <f aca="false">N(Journal!H85)</f>
        <v>200</v>
      </c>
      <c r="F204" s="27" t="n">
        <f aca="false">N(Journal!I85)</f>
        <v>0</v>
      </c>
      <c r="G204" s="16" t="n">
        <f aca="false">E204-F204</f>
        <v>200</v>
      </c>
    </row>
    <row r="205" customFormat="false" ht="15" hidden="false" customHeight="false" outlineLevel="0" collapsed="false">
      <c r="A205" s="24" t="n">
        <f aca="false">Journal!A87</f>
        <v>25</v>
      </c>
      <c r="B205" s="25" t="n">
        <f aca="false">Journal!B87</f>
        <v>46370.4166666667</v>
      </c>
      <c r="C205" s="26" t="str">
        <f aca="false">Journal!C87</f>
        <v>Résolution anomalie</v>
      </c>
      <c r="D205" s="26" t="str">
        <f aca="false">Journal!E87</f>
        <v>Perte hors ligne supportée par l'organisateur (offline_loss_bearer)</v>
      </c>
      <c r="E205" s="27" t="n">
        <f aca="false">N(Journal!H87)</f>
        <v>3000</v>
      </c>
      <c r="F205" s="27" t="n">
        <f aca="false">N(Journal!I87)</f>
        <v>0</v>
      </c>
      <c r="G205" s="16" t="n">
        <f aca="false">G204+E205-F205</f>
        <v>3200</v>
      </c>
    </row>
    <row r="206" customFormat="false" ht="15" hidden="false" customHeight="false" outlineLevel="0" collapsed="false">
      <c r="A206" s="2"/>
      <c r="B206" s="2"/>
      <c r="C206" s="2"/>
      <c r="D206" s="3" t="s">
        <v>555</v>
      </c>
      <c r="E206" s="21" t="n">
        <f aca="false">SUM(E204:E205)</f>
        <v>3200</v>
      </c>
      <c r="F206" s="21" t="n">
        <f aca="false">SUM(F204:F205)</f>
        <v>0</v>
      </c>
      <c r="G206" s="21" t="n">
        <f aca="false">E206-F206</f>
        <v>3200</v>
      </c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</row>
    <row r="208" customFormat="false" ht="15" hidden="false" customHeight="false" outlineLevel="0" collapsed="false">
      <c r="A208" s="22" t="s">
        <v>256</v>
      </c>
      <c r="B208" s="23"/>
      <c r="C208" s="23"/>
      <c r="D208" s="22" t="s">
        <v>257</v>
      </c>
      <c r="E208" s="23"/>
      <c r="F208" s="23"/>
      <c r="G208" s="23"/>
    </row>
    <row r="209" customFormat="false" ht="15" hidden="false" customHeight="false" outlineLevel="0" collapsed="false">
      <c r="A209" s="24" t="n">
        <f aca="false">Journal!A146</f>
        <v>46</v>
      </c>
      <c r="B209" s="25" t="n">
        <f aca="false">Journal!B146</f>
        <v>46434.4166666667</v>
      </c>
      <c r="C209" s="26" t="str">
        <f aca="false">Journal!C146</f>
        <v>Versements initiés</v>
      </c>
      <c r="D209" s="26" t="str">
        <f aca="false">Journal!E146</f>
        <v>Versement final initié — organisateur (droit net)</v>
      </c>
      <c r="E209" s="27" t="n">
        <f aca="false">N(Journal!H146)</f>
        <v>39225</v>
      </c>
      <c r="F209" s="27" t="n">
        <f aca="false">N(Journal!I146)</f>
        <v>0</v>
      </c>
      <c r="G209" s="16" t="n">
        <f aca="false">E209-F209</f>
        <v>39225</v>
      </c>
    </row>
    <row r="210" customFormat="false" ht="15" hidden="false" customHeight="false" outlineLevel="0" collapsed="false">
      <c r="A210" s="2"/>
      <c r="B210" s="2"/>
      <c r="C210" s="2"/>
      <c r="D210" s="3" t="s">
        <v>556</v>
      </c>
      <c r="E210" s="21" t="n">
        <f aca="false">SUM(E209:E209)</f>
        <v>39225</v>
      </c>
      <c r="F210" s="21" t="n">
        <f aca="false">SUM(F209:F209)</f>
        <v>0</v>
      </c>
      <c r="G210" s="21" t="n">
        <f aca="false">E210-F210</f>
        <v>39225</v>
      </c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</row>
    <row r="212" customFormat="false" ht="15" hidden="false" customHeight="false" outlineLevel="0" collapsed="false">
      <c r="A212" s="22" t="s">
        <v>260</v>
      </c>
      <c r="B212" s="23"/>
      <c r="C212" s="23"/>
      <c r="D212" s="22" t="s">
        <v>261</v>
      </c>
      <c r="E212" s="23"/>
      <c r="F212" s="23"/>
      <c r="G212" s="23"/>
    </row>
    <row r="213" customFormat="false" ht="15" hidden="false" customHeight="false" outlineLevel="0" collapsed="false">
      <c r="A213" s="24" t="n">
        <f aca="false">Journal!A103</f>
        <v>31</v>
      </c>
      <c r="B213" s="25" t="n">
        <f aca="false">Journal!B103</f>
        <v>46372.5034722222</v>
      </c>
      <c r="C213" s="26" t="str">
        <f aca="false">Journal!C103</f>
        <v>Frais prestataire</v>
      </c>
      <c r="D213" s="26" t="str">
        <f aca="false">Journal!E103</f>
        <v>Frais facturés à l'organisateur (HT)</v>
      </c>
      <c r="E213" s="27" t="n">
        <f aca="false">N(Journal!H103)</f>
        <v>0</v>
      </c>
      <c r="F213" s="27" t="n">
        <f aca="false">N(Journal!I103)</f>
        <v>5085</v>
      </c>
      <c r="G213" s="16" t="n">
        <f aca="false">E213-F213</f>
        <v>-5085</v>
      </c>
    </row>
    <row r="214" customFormat="false" ht="15" hidden="false" customHeight="false" outlineLevel="0" collapsed="false">
      <c r="A214" s="2"/>
      <c r="B214" s="2"/>
      <c r="C214" s="2"/>
      <c r="D214" s="3" t="s">
        <v>557</v>
      </c>
      <c r="E214" s="21" t="n">
        <f aca="false">SUM(E213:E213)</f>
        <v>0</v>
      </c>
      <c r="F214" s="21" t="n">
        <f aca="false">SUM(F213:F213)</f>
        <v>5085</v>
      </c>
      <c r="G214" s="21" t="n">
        <f aca="false">E214-F214</f>
        <v>-5085</v>
      </c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</row>
    <row r="216" customFormat="false" ht="15" hidden="false" customHeight="false" outlineLevel="0" collapsed="false">
      <c r="A216" s="22" t="s">
        <v>264</v>
      </c>
      <c r="B216" s="23"/>
      <c r="C216" s="23"/>
      <c r="D216" s="22" t="s">
        <v>265</v>
      </c>
      <c r="E216" s="23"/>
      <c r="F216" s="23"/>
      <c r="G216" s="23"/>
    </row>
    <row r="217" customFormat="false" ht="15" hidden="false" customHeight="false" outlineLevel="0" collapsed="false">
      <c r="A217" s="24" t="n">
        <f aca="false">Journal!A104</f>
        <v>31</v>
      </c>
      <c r="B217" s="25" t="n">
        <f aca="false">Journal!B104</f>
        <v>46372.5034722222</v>
      </c>
      <c r="C217" s="26" t="str">
        <f aca="false">Journal!C104</f>
        <v>Frais prestataire</v>
      </c>
      <c r="D217" s="26" t="str">
        <f aca="false">Journal!E104</f>
        <v>Frais facturés à l'organisateur (taxe collectée)</v>
      </c>
      <c r="E217" s="27" t="n">
        <f aca="false">N(Journal!H104)</f>
        <v>0</v>
      </c>
      <c r="F217" s="27" t="n">
        <f aca="false">N(Journal!I104)</f>
        <v>915</v>
      </c>
      <c r="G217" s="16" t="n">
        <f aca="false">E217-F217</f>
        <v>-915</v>
      </c>
    </row>
    <row r="218" customFormat="false" ht="15" hidden="false" customHeight="false" outlineLevel="0" collapsed="false">
      <c r="A218" s="2"/>
      <c r="B218" s="2"/>
      <c r="C218" s="2"/>
      <c r="D218" s="3" t="s">
        <v>558</v>
      </c>
      <c r="E218" s="21" t="n">
        <f aca="false">SUM(E217:E217)</f>
        <v>0</v>
      </c>
      <c r="F218" s="21" t="n">
        <f aca="false">SUM(F217:F217)</f>
        <v>915</v>
      </c>
      <c r="G218" s="21" t="n">
        <f aca="false">E218-F218</f>
        <v>-915</v>
      </c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</row>
    <row r="220" customFormat="false" ht="15" hidden="false" customHeight="false" outlineLevel="0" collapsed="false">
      <c r="A220" s="22" t="s">
        <v>268</v>
      </c>
      <c r="B220" s="23"/>
      <c r="C220" s="23"/>
      <c r="D220" s="22" t="s">
        <v>269</v>
      </c>
      <c r="E220" s="23"/>
      <c r="F220" s="23"/>
      <c r="G220" s="23"/>
    </row>
    <row r="221" customFormat="false" ht="15" hidden="false" customHeight="false" outlineLevel="0" collapsed="false">
      <c r="A221" s="24" t="n">
        <f aca="false">Journal!A141</f>
        <v>43</v>
      </c>
      <c r="B221" s="25" t="n">
        <f aca="false">Journal!B141</f>
        <v>46433</v>
      </c>
      <c r="C221" s="26" t="str">
        <f aca="false">Journal!C141</f>
        <v>Casse</v>
      </c>
      <c r="D221" s="26" t="str">
        <f aca="false">Journal!E141</f>
        <v>Casse — part du prestataire (contrat)</v>
      </c>
      <c r="E221" s="27" t="n">
        <f aca="false">N(Journal!H141)</f>
        <v>0</v>
      </c>
      <c r="F221" s="27" t="n">
        <f aca="false">N(Journal!I141)</f>
        <v>4000</v>
      </c>
      <c r="G221" s="16" t="n">
        <f aca="false">E221-F221</f>
        <v>-4000</v>
      </c>
    </row>
    <row r="222" customFormat="false" ht="15" hidden="false" customHeight="false" outlineLevel="0" collapsed="false">
      <c r="A222" s="2"/>
      <c r="B222" s="2"/>
      <c r="C222" s="2"/>
      <c r="D222" s="3" t="s">
        <v>559</v>
      </c>
      <c r="E222" s="21" t="n">
        <f aca="false">SUM(E221:E221)</f>
        <v>0</v>
      </c>
      <c r="F222" s="21" t="n">
        <f aca="false">SUM(F221:F221)</f>
        <v>4000</v>
      </c>
      <c r="G222" s="21" t="n">
        <f aca="false">E222-F222</f>
        <v>-4000</v>
      </c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</row>
    <row r="224" customFormat="false" ht="15" hidden="false" customHeight="false" outlineLevel="0" collapsed="false">
      <c r="A224" s="22" t="s">
        <v>272</v>
      </c>
      <c r="B224" s="23"/>
      <c r="C224" s="23"/>
      <c r="D224" s="22" t="s">
        <v>273</v>
      </c>
      <c r="E224" s="23"/>
      <c r="F224" s="23"/>
      <c r="G224" s="23"/>
    </row>
    <row r="225" customFormat="false" ht="15" hidden="false" customHeight="false" outlineLevel="0" collapsed="false">
      <c r="A225" s="24" t="n">
        <f aca="false">Journal!A105</f>
        <v>32</v>
      </c>
      <c r="B225" s="25" t="n">
        <f aca="false">Journal!B105</f>
        <v>46372.5069444445</v>
      </c>
      <c r="C225" s="26" t="str">
        <f aca="false">Journal!C105</f>
        <v>Redevance plateforme</v>
      </c>
      <c r="D225" s="26" t="str">
        <f aca="false">Journal!E105</f>
        <v>Redevance TTC sur les frais HT du prestataire</v>
      </c>
      <c r="E225" s="27" t="n">
        <f aca="false">N(Journal!H105)</f>
        <v>1017</v>
      </c>
      <c r="F225" s="27" t="n">
        <f aca="false">N(Journal!I105)</f>
        <v>0</v>
      </c>
      <c r="G225" s="16" t="n">
        <f aca="false">E225-F225</f>
        <v>1017</v>
      </c>
    </row>
    <row r="226" customFormat="false" ht="15" hidden="false" customHeight="false" outlineLevel="0" collapsed="false">
      <c r="A226" s="2"/>
      <c r="B226" s="2"/>
      <c r="C226" s="2"/>
      <c r="D226" s="3" t="s">
        <v>560</v>
      </c>
      <c r="E226" s="21" t="n">
        <f aca="false">SUM(E225:E225)</f>
        <v>1017</v>
      </c>
      <c r="F226" s="21" t="n">
        <f aca="false">SUM(F225:F225)</f>
        <v>0</v>
      </c>
      <c r="G226" s="21" t="n">
        <f aca="false">E226-F226</f>
        <v>1017</v>
      </c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</row>
    <row r="228" customFormat="false" ht="15" hidden="false" customHeight="false" outlineLevel="0" collapsed="false">
      <c r="A228" s="22" t="s">
        <v>276</v>
      </c>
      <c r="B228" s="23"/>
      <c r="C228" s="23"/>
      <c r="D228" s="22" t="s">
        <v>277</v>
      </c>
      <c r="E228" s="23"/>
      <c r="F228" s="23"/>
      <c r="G228" s="23"/>
    </row>
    <row r="229" customFormat="false" ht="15" hidden="false" customHeight="false" outlineLevel="0" collapsed="false">
      <c r="A229" s="24" t="n">
        <f aca="false">Journal!A111</f>
        <v>33</v>
      </c>
      <c r="B229" s="25" t="n">
        <f aca="false">Journal!B111</f>
        <v>46376.4166666667</v>
      </c>
      <c r="C229" s="26" t="str">
        <f aca="false">Journal!C111</f>
        <v>Versements initiés</v>
      </c>
      <c r="D229" s="26" t="str">
        <f aca="false">Journal!E111</f>
        <v>Versement initié — Prestataire (frais TTC − redevance)</v>
      </c>
      <c r="E229" s="27" t="n">
        <f aca="false">N(Journal!H111)</f>
        <v>4983</v>
      </c>
      <c r="F229" s="27" t="n">
        <f aca="false">N(Journal!I111)</f>
        <v>0</v>
      </c>
      <c r="G229" s="16" t="n">
        <f aca="false">E229-F229</f>
        <v>4983</v>
      </c>
    </row>
    <row r="230" customFormat="false" ht="15" hidden="false" customHeight="false" outlineLevel="0" collapsed="false">
      <c r="A230" s="24" t="n">
        <f aca="false">Journal!A147</f>
        <v>46</v>
      </c>
      <c r="B230" s="25" t="n">
        <f aca="false">Journal!B147</f>
        <v>46434.4166666667</v>
      </c>
      <c r="C230" s="26" t="str">
        <f aca="false">Journal!C147</f>
        <v>Versements initiés</v>
      </c>
      <c r="D230" s="26" t="str">
        <f aca="false">Journal!E147</f>
        <v>Versement final initié — prestataire (part de casse)</v>
      </c>
      <c r="E230" s="27" t="n">
        <f aca="false">N(Journal!H147)</f>
        <v>4000</v>
      </c>
      <c r="F230" s="27" t="n">
        <f aca="false">N(Journal!I147)</f>
        <v>0</v>
      </c>
      <c r="G230" s="16" t="n">
        <f aca="false">G229+E230-F230</f>
        <v>8983</v>
      </c>
    </row>
    <row r="231" customFormat="false" ht="15" hidden="false" customHeight="false" outlineLevel="0" collapsed="false">
      <c r="A231" s="2"/>
      <c r="B231" s="2"/>
      <c r="C231" s="2"/>
      <c r="D231" s="3" t="s">
        <v>561</v>
      </c>
      <c r="E231" s="21" t="n">
        <f aca="false">SUM(E229:E230)</f>
        <v>8983</v>
      </c>
      <c r="F231" s="21" t="n">
        <f aca="false">SUM(F229:F230)</f>
        <v>0</v>
      </c>
      <c r="G231" s="21" t="n">
        <f aca="false">E231-F231</f>
        <v>8983</v>
      </c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</row>
    <row r="233" customFormat="false" ht="15" hidden="false" customHeight="false" outlineLevel="0" collapsed="false">
      <c r="A233" s="22" t="s">
        <v>280</v>
      </c>
      <c r="B233" s="23"/>
      <c r="C233" s="23"/>
      <c r="D233" s="22" t="s">
        <v>281</v>
      </c>
      <c r="E233" s="23"/>
      <c r="F233" s="23"/>
      <c r="G233" s="23"/>
    </row>
    <row r="234" customFormat="false" ht="15" hidden="false" customHeight="false" outlineLevel="0" collapsed="false">
      <c r="A234" s="24" t="n">
        <f aca="false">Journal!A106</f>
        <v>32</v>
      </c>
      <c r="B234" s="25" t="n">
        <f aca="false">Journal!B106</f>
        <v>46372.5069444445</v>
      </c>
      <c r="C234" s="26" t="str">
        <f aca="false">Journal!C106</f>
        <v>Redevance plateforme</v>
      </c>
      <c r="D234" s="26" t="str">
        <f aca="false">Journal!E106</f>
        <v>Redevance plateforme (HT)</v>
      </c>
      <c r="E234" s="27" t="n">
        <f aca="false">N(Journal!H106)</f>
        <v>0</v>
      </c>
      <c r="F234" s="27" t="n">
        <f aca="false">N(Journal!I106)</f>
        <v>862</v>
      </c>
      <c r="G234" s="16" t="n">
        <f aca="false">E234-F234</f>
        <v>-862</v>
      </c>
    </row>
    <row r="235" customFormat="false" ht="15" hidden="false" customHeight="false" outlineLevel="0" collapsed="false">
      <c r="A235" s="2"/>
      <c r="B235" s="2"/>
      <c r="C235" s="2"/>
      <c r="D235" s="3" t="s">
        <v>562</v>
      </c>
      <c r="E235" s="21" t="n">
        <f aca="false">SUM(E234:E234)</f>
        <v>0</v>
      </c>
      <c r="F235" s="21" t="n">
        <f aca="false">SUM(F234:F234)</f>
        <v>862</v>
      </c>
      <c r="G235" s="21" t="n">
        <f aca="false">E235-F235</f>
        <v>-862</v>
      </c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</row>
    <row r="237" customFormat="false" ht="15" hidden="false" customHeight="false" outlineLevel="0" collapsed="false">
      <c r="A237" s="22" t="s">
        <v>284</v>
      </c>
      <c r="B237" s="23"/>
      <c r="C237" s="23"/>
      <c r="D237" s="22" t="s">
        <v>285</v>
      </c>
      <c r="E237" s="23"/>
      <c r="F237" s="23"/>
      <c r="G237" s="23"/>
    </row>
    <row r="238" customFormat="false" ht="15" hidden="false" customHeight="false" outlineLevel="0" collapsed="false">
      <c r="A238" s="24" t="n">
        <f aca="false">Journal!A107</f>
        <v>32</v>
      </c>
      <c r="B238" s="25" t="n">
        <f aca="false">Journal!B107</f>
        <v>46372.5069444445</v>
      </c>
      <c r="C238" s="26" t="str">
        <f aca="false">Journal!C107</f>
        <v>Redevance plateforme</v>
      </c>
      <c r="D238" s="26" t="str">
        <f aca="false">Journal!E107</f>
        <v>Redevance plateforme (taxe collectée)</v>
      </c>
      <c r="E238" s="27" t="n">
        <f aca="false">N(Journal!H107)</f>
        <v>0</v>
      </c>
      <c r="F238" s="27" t="n">
        <f aca="false">N(Journal!I107)</f>
        <v>155</v>
      </c>
      <c r="G238" s="16" t="n">
        <f aca="false">E238-F238</f>
        <v>-155</v>
      </c>
    </row>
    <row r="239" customFormat="false" ht="15" hidden="false" customHeight="false" outlineLevel="0" collapsed="false">
      <c r="A239" s="2"/>
      <c r="B239" s="2"/>
      <c r="C239" s="2"/>
      <c r="D239" s="3" t="s">
        <v>563</v>
      </c>
      <c r="E239" s="21" t="n">
        <f aca="false">SUM(E238:E238)</f>
        <v>0</v>
      </c>
      <c r="F239" s="21" t="n">
        <f aca="false">SUM(F238:F238)</f>
        <v>155</v>
      </c>
      <c r="G239" s="21" t="n">
        <f aca="false">E239-F239</f>
        <v>-155</v>
      </c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</row>
    <row r="241" customFormat="false" ht="15" hidden="false" customHeight="false" outlineLevel="0" collapsed="false">
      <c r="A241" s="22" t="s">
        <v>288</v>
      </c>
      <c r="B241" s="23"/>
      <c r="C241" s="23"/>
      <c r="D241" s="22" t="s">
        <v>289</v>
      </c>
      <c r="E241" s="23"/>
      <c r="F241" s="23"/>
      <c r="G241" s="23"/>
    </row>
    <row r="242" customFormat="false" ht="15" hidden="false" customHeight="false" outlineLevel="0" collapsed="false">
      <c r="A242" s="24" t="n">
        <f aca="false">Journal!A112</f>
        <v>33</v>
      </c>
      <c r="B242" s="25" t="n">
        <f aca="false">Journal!B112</f>
        <v>46376.4166666667</v>
      </c>
      <c r="C242" s="26" t="str">
        <f aca="false">Journal!C112</f>
        <v>Versements initiés</v>
      </c>
      <c r="D242" s="26" t="str">
        <f aca="false">Journal!E112</f>
        <v>Versement initié — Plateforme (redevance TTC)</v>
      </c>
      <c r="E242" s="27" t="n">
        <f aca="false">N(Journal!H112)</f>
        <v>1017</v>
      </c>
      <c r="F242" s="27" t="n">
        <f aca="false">N(Journal!I112)</f>
        <v>0</v>
      </c>
      <c r="G242" s="16" t="n">
        <f aca="false">E242-F242</f>
        <v>1017</v>
      </c>
    </row>
    <row r="243" customFormat="false" ht="15" hidden="false" customHeight="false" outlineLevel="0" collapsed="false">
      <c r="A243" s="2"/>
      <c r="B243" s="2"/>
      <c r="C243" s="2"/>
      <c r="D243" s="3" t="s">
        <v>564</v>
      </c>
      <c r="E243" s="21" t="n">
        <f aca="false">SUM(E242:E242)</f>
        <v>1017</v>
      </c>
      <c r="F243" s="21" t="n">
        <f aca="false">SUM(F242:F242)</f>
        <v>0</v>
      </c>
      <c r="G243" s="21" t="n">
        <f aca="false">E243-F243</f>
        <v>1017</v>
      </c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</row>
    <row r="245" customFormat="false" ht="15" hidden="false" customHeight="false" outlineLevel="0" collapsed="false">
      <c r="A245" s="22" t="s">
        <v>292</v>
      </c>
      <c r="B245" s="23"/>
      <c r="C245" s="23"/>
      <c r="D245" s="22" t="s">
        <v>293</v>
      </c>
      <c r="E245" s="23"/>
      <c r="F245" s="23"/>
      <c r="G245" s="23"/>
    </row>
    <row r="246" customFormat="false" ht="15" hidden="false" customHeight="false" outlineLevel="0" collapsed="false">
      <c r="A246" s="24" t="n">
        <f aca="false">Journal!A113</f>
        <v>33</v>
      </c>
      <c r="B246" s="25" t="n">
        <f aca="false">Journal!B113</f>
        <v>46376.4166666667</v>
      </c>
      <c r="C246" s="26" t="str">
        <f aca="false">Journal!C113</f>
        <v>Versements initiés</v>
      </c>
      <c r="D246" s="26" t="str">
        <f aca="false">Journal!E113</f>
        <v>Versements en cours (lot du 20/12)</v>
      </c>
      <c r="E246" s="27" t="n">
        <f aca="false">N(Journal!H113)</f>
        <v>0</v>
      </c>
      <c r="F246" s="27" t="n">
        <f aca="false">N(Journal!I113)</f>
        <v>43900</v>
      </c>
      <c r="G246" s="16" t="n">
        <f aca="false">E246-F246</f>
        <v>-43900</v>
      </c>
    </row>
    <row r="247" customFormat="false" ht="15" hidden="false" customHeight="false" outlineLevel="0" collapsed="false">
      <c r="A247" s="24" t="n">
        <f aca="false">Journal!A114</f>
        <v>34</v>
      </c>
      <c r="B247" s="25" t="n">
        <f aca="false">Journal!B114</f>
        <v>46376.4201388889</v>
      </c>
      <c r="C247" s="26" t="str">
        <f aca="false">Journal!C114</f>
        <v>Versement confirmé</v>
      </c>
      <c r="D247" s="26" t="str">
        <f aca="false">Journal!E114</f>
        <v>Versement confirmé — Food truck</v>
      </c>
      <c r="E247" s="27" t="n">
        <f aca="false">N(Journal!H114)</f>
        <v>11400</v>
      </c>
      <c r="F247" s="27" t="n">
        <f aca="false">N(Journal!I114)</f>
        <v>0</v>
      </c>
      <c r="G247" s="16" t="n">
        <f aca="false">G246+E247-F247</f>
        <v>-32500</v>
      </c>
    </row>
    <row r="248" customFormat="false" ht="15" hidden="false" customHeight="false" outlineLevel="0" collapsed="false">
      <c r="A248" s="24" t="n">
        <f aca="false">Journal!A116</f>
        <v>35</v>
      </c>
      <c r="B248" s="25" t="n">
        <f aca="false">Journal!B116</f>
        <v>46376.4208333333</v>
      </c>
      <c r="C248" s="26" t="str">
        <f aca="false">Journal!C116</f>
        <v>Versement échoué</v>
      </c>
      <c r="D248" s="26" t="str">
        <f aca="false">Journal!E116</f>
        <v>Échec : numéro mobile money invalide — Tee-shirts</v>
      </c>
      <c r="E248" s="27" t="n">
        <f aca="false">N(Journal!H116)</f>
        <v>8000</v>
      </c>
      <c r="F248" s="27" t="n">
        <f aca="false">N(Journal!I116)</f>
        <v>0</v>
      </c>
      <c r="G248" s="16" t="n">
        <f aca="false">G247+E248-F248</f>
        <v>-24500</v>
      </c>
    </row>
    <row r="249" customFormat="false" ht="15" hidden="false" customHeight="false" outlineLevel="0" collapsed="false">
      <c r="A249" s="24" t="n">
        <f aca="false">Journal!A118</f>
        <v>36</v>
      </c>
      <c r="B249" s="25" t="n">
        <f aca="false">Journal!B118</f>
        <v>46376.4215277778</v>
      </c>
      <c r="C249" s="26" t="str">
        <f aca="false">Journal!C118</f>
        <v>Versement confirmé</v>
      </c>
      <c r="D249" s="26" t="str">
        <f aca="false">Journal!E118</f>
        <v>Versement confirmé — Bar interne → organisateur</v>
      </c>
      <c r="E249" s="27" t="n">
        <f aca="false">N(Journal!H118)</f>
        <v>18500</v>
      </c>
      <c r="F249" s="27" t="n">
        <f aca="false">N(Journal!I118)</f>
        <v>0</v>
      </c>
      <c r="G249" s="16" t="n">
        <f aca="false">G248+E249-F249</f>
        <v>-6000</v>
      </c>
    </row>
    <row r="250" customFormat="false" ht="15" hidden="false" customHeight="false" outlineLevel="0" collapsed="false">
      <c r="A250" s="24" t="n">
        <f aca="false">Journal!A120</f>
        <v>37</v>
      </c>
      <c r="B250" s="25" t="n">
        <f aca="false">Journal!B120</f>
        <v>46376.4222222222</v>
      </c>
      <c r="C250" s="26" t="str">
        <f aca="false">Journal!C120</f>
        <v>Versement confirmé</v>
      </c>
      <c r="D250" s="26" t="str">
        <f aca="false">Journal!E120</f>
        <v>Versement confirmé — Prestataire</v>
      </c>
      <c r="E250" s="27" t="n">
        <f aca="false">N(Journal!H120)</f>
        <v>4983</v>
      </c>
      <c r="F250" s="27" t="n">
        <f aca="false">N(Journal!I120)</f>
        <v>0</v>
      </c>
      <c r="G250" s="16" t="n">
        <f aca="false">G249+E250-F250</f>
        <v>-1017</v>
      </c>
    </row>
    <row r="251" customFormat="false" ht="15" hidden="false" customHeight="false" outlineLevel="0" collapsed="false">
      <c r="A251" s="24" t="n">
        <f aca="false">Journal!A122</f>
        <v>38</v>
      </c>
      <c r="B251" s="25" t="n">
        <f aca="false">Journal!B122</f>
        <v>46376.4229166667</v>
      </c>
      <c r="C251" s="26" t="str">
        <f aca="false">Journal!C122</f>
        <v>Versement confirmé</v>
      </c>
      <c r="D251" s="26" t="str">
        <f aca="false">Journal!E122</f>
        <v>Versement confirmé — Plateforme</v>
      </c>
      <c r="E251" s="27" t="n">
        <f aca="false">N(Journal!H122)</f>
        <v>1017</v>
      </c>
      <c r="F251" s="27" t="n">
        <f aca="false">N(Journal!I122)</f>
        <v>0</v>
      </c>
      <c r="G251" s="16" t="n">
        <f aca="false">G250+E251-F251</f>
        <v>0</v>
      </c>
    </row>
    <row r="252" customFormat="false" ht="15" hidden="false" customHeight="false" outlineLevel="0" collapsed="false">
      <c r="A252" s="24" t="n">
        <f aca="false">Journal!A125</f>
        <v>39</v>
      </c>
      <c r="B252" s="25" t="n">
        <f aca="false">Journal!B125</f>
        <v>46378.375</v>
      </c>
      <c r="C252" s="26" t="str">
        <f aca="false">Journal!C125</f>
        <v>Versement initié</v>
      </c>
      <c r="D252" s="26" t="str">
        <f aca="false">Journal!E125</f>
        <v>Versement en cours</v>
      </c>
      <c r="E252" s="27" t="n">
        <f aca="false">N(Journal!H125)</f>
        <v>0</v>
      </c>
      <c r="F252" s="27" t="n">
        <f aca="false">N(Journal!I125)</f>
        <v>8000</v>
      </c>
      <c r="G252" s="16" t="n">
        <f aca="false">G251+E252-F252</f>
        <v>-8000</v>
      </c>
    </row>
    <row r="253" customFormat="false" ht="15" hidden="false" customHeight="false" outlineLevel="0" collapsed="false">
      <c r="A253" s="24" t="n">
        <f aca="false">Journal!A126</f>
        <v>40</v>
      </c>
      <c r="B253" s="25" t="n">
        <f aca="false">Journal!B126</f>
        <v>46378.3784722222</v>
      </c>
      <c r="C253" s="26" t="str">
        <f aca="false">Journal!C126</f>
        <v>Versement confirmé</v>
      </c>
      <c r="D253" s="26" t="str">
        <f aca="false">Journal!E126</f>
        <v>Versement confirmé — Tee-shirts</v>
      </c>
      <c r="E253" s="27" t="n">
        <f aca="false">N(Journal!H126)</f>
        <v>8000</v>
      </c>
      <c r="F253" s="27" t="n">
        <f aca="false">N(Journal!I126)</f>
        <v>0</v>
      </c>
      <c r="G253" s="16" t="n">
        <f aca="false">G252+E253-F253</f>
        <v>0</v>
      </c>
    </row>
    <row r="254" customFormat="false" ht="15" hidden="false" customHeight="false" outlineLevel="0" collapsed="false">
      <c r="A254" s="24" t="n">
        <f aca="false">Journal!A148</f>
        <v>46</v>
      </c>
      <c r="B254" s="25" t="n">
        <f aca="false">Journal!B148</f>
        <v>46434.4166666667</v>
      </c>
      <c r="C254" s="26" t="str">
        <f aca="false">Journal!C148</f>
        <v>Versements initiés</v>
      </c>
      <c r="D254" s="26" t="str">
        <f aca="false">Journal!E148</f>
        <v>Versements en cours</v>
      </c>
      <c r="E254" s="27" t="n">
        <f aca="false">N(Journal!H148)</f>
        <v>0</v>
      </c>
      <c r="F254" s="27" t="n">
        <f aca="false">N(Journal!I148)</f>
        <v>43225</v>
      </c>
      <c r="G254" s="16" t="n">
        <f aca="false">G253+E254-F254</f>
        <v>-43225</v>
      </c>
    </row>
    <row r="255" customFormat="false" ht="15" hidden="false" customHeight="false" outlineLevel="0" collapsed="false">
      <c r="A255" s="24" t="n">
        <f aca="false">Journal!A149</f>
        <v>47</v>
      </c>
      <c r="B255" s="25" t="n">
        <f aca="false">Journal!B149</f>
        <v>46434.4201388889</v>
      </c>
      <c r="C255" s="26" t="str">
        <f aca="false">Journal!C149</f>
        <v>Versement confirmé</v>
      </c>
      <c r="D255" s="26" t="str">
        <f aca="false">Journal!E149</f>
        <v>Versement confirmé — organisateur</v>
      </c>
      <c r="E255" s="27" t="n">
        <f aca="false">N(Journal!H149)</f>
        <v>39225</v>
      </c>
      <c r="F255" s="27" t="n">
        <f aca="false">N(Journal!I149)</f>
        <v>0</v>
      </c>
      <c r="G255" s="16" t="n">
        <f aca="false">G254+E255-F255</f>
        <v>-4000</v>
      </c>
    </row>
    <row r="256" customFormat="false" ht="15" hidden="false" customHeight="false" outlineLevel="0" collapsed="false">
      <c r="A256" s="24" t="n">
        <f aca="false">Journal!A151</f>
        <v>48</v>
      </c>
      <c r="B256" s="25" t="n">
        <f aca="false">Journal!B151</f>
        <v>46434.4208333333</v>
      </c>
      <c r="C256" s="26" t="str">
        <f aca="false">Journal!C151</f>
        <v>Versement confirmé</v>
      </c>
      <c r="D256" s="26" t="str">
        <f aca="false">Journal!E151</f>
        <v>Versement confirmé — prestataire</v>
      </c>
      <c r="E256" s="27" t="n">
        <f aca="false">N(Journal!H151)</f>
        <v>4000</v>
      </c>
      <c r="F256" s="27" t="n">
        <f aca="false">N(Journal!I151)</f>
        <v>0</v>
      </c>
      <c r="G256" s="16" t="n">
        <f aca="false">G255+E256-F256</f>
        <v>0</v>
      </c>
    </row>
    <row r="257" customFormat="false" ht="15" hidden="false" customHeight="false" outlineLevel="0" collapsed="false">
      <c r="A257" s="2"/>
      <c r="B257" s="2"/>
      <c r="C257" s="2"/>
      <c r="D257" s="3" t="s">
        <v>565</v>
      </c>
      <c r="E257" s="21" t="n">
        <f aca="false">SUM(E246:E256)</f>
        <v>95125</v>
      </c>
      <c r="F257" s="21" t="n">
        <f aca="false">SUM(F246:F256)</f>
        <v>95125</v>
      </c>
      <c r="G257" s="21" t="n">
        <f aca="false">E257-F257</f>
        <v>0</v>
      </c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</row>
    <row r="259" customFormat="false" ht="15" hidden="false" customHeight="false" outlineLevel="0" collapsed="false">
      <c r="A259" s="22" t="s">
        <v>296</v>
      </c>
      <c r="B259" s="23"/>
      <c r="C259" s="23"/>
      <c r="D259" s="22" t="s">
        <v>297</v>
      </c>
      <c r="E259" s="23"/>
      <c r="F259" s="23"/>
      <c r="G259" s="23"/>
    </row>
    <row r="260" customFormat="false" ht="15" hidden="false" customHeight="false" outlineLevel="0" collapsed="false">
      <c r="A260" s="24" t="n">
        <f aca="false">Journal!A77</f>
        <v>22</v>
      </c>
      <c r="B260" s="25" t="n">
        <f aca="false">Journal!B77</f>
        <v>46369.8958333333</v>
      </c>
      <c r="C260" s="26" t="str">
        <f aca="false">Journal!C77</f>
        <v>Vente hors ligne</v>
      </c>
      <c r="D260" s="26" t="str">
        <f aca="false">Journal!E77</f>
        <v>Part non couverte → compte d'attente (anomalie)</v>
      </c>
      <c r="E260" s="27" t="n">
        <f aca="false">N(Journal!H77)</f>
        <v>3000</v>
      </c>
      <c r="F260" s="27" t="n">
        <f aca="false">N(Journal!I77)</f>
        <v>0</v>
      </c>
      <c r="G260" s="16" t="n">
        <f aca="false">E260-F260</f>
        <v>3000</v>
      </c>
    </row>
    <row r="261" customFormat="false" ht="15" hidden="false" customHeight="false" outlineLevel="0" collapsed="false">
      <c r="A261" s="24" t="n">
        <f aca="false">Journal!A88</f>
        <v>25</v>
      </c>
      <c r="B261" s="25" t="n">
        <f aca="false">Journal!B88</f>
        <v>46370.4166666667</v>
      </c>
      <c r="C261" s="26" t="str">
        <f aca="false">Journal!C88</f>
        <v>Résolution anomalie</v>
      </c>
      <c r="D261" s="26" t="str">
        <f aca="false">Journal!E88</f>
        <v>Solde du compte d'attente</v>
      </c>
      <c r="E261" s="27" t="n">
        <f aca="false">N(Journal!H88)</f>
        <v>0</v>
      </c>
      <c r="F261" s="27" t="n">
        <f aca="false">N(Journal!I88)</f>
        <v>3000</v>
      </c>
      <c r="G261" s="16" t="n">
        <f aca="false">G260+E261-F261</f>
        <v>0</v>
      </c>
    </row>
    <row r="262" customFormat="false" ht="15" hidden="false" customHeight="false" outlineLevel="0" collapsed="false">
      <c r="A262" s="2"/>
      <c r="B262" s="2"/>
      <c r="C262" s="2"/>
      <c r="D262" s="3" t="s">
        <v>566</v>
      </c>
      <c r="E262" s="21" t="n">
        <f aca="false">SUM(E260:E261)</f>
        <v>3000</v>
      </c>
      <c r="F262" s="21" t="n">
        <f aca="false">SUM(F260:F261)</f>
        <v>3000</v>
      </c>
      <c r="G262" s="21" t="n">
        <f aca="false">E262-F262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4" min="3" style="0" width="10"/>
    <col collapsed="false" customWidth="true" hidden="false" outlineLevel="0" max="6" min="5" style="0" width="13"/>
    <col collapsed="false" customWidth="true" hidden="false" outlineLevel="0" max="9" min="7" style="0" width="14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567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568</v>
      </c>
      <c r="B2" s="2"/>
      <c r="C2" s="24" t="n">
        <f aca="false">Paramètres!$C$26</f>
        <v>48</v>
      </c>
      <c r="D2" s="5" t="s">
        <v>569</v>
      </c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92</v>
      </c>
      <c r="B4" s="6" t="s">
        <v>161</v>
      </c>
      <c r="C4" s="6" t="s">
        <v>162</v>
      </c>
      <c r="D4" s="6" t="s">
        <v>163</v>
      </c>
      <c r="E4" s="6" t="s">
        <v>570</v>
      </c>
      <c r="F4" s="6" t="s">
        <v>571</v>
      </c>
      <c r="G4" s="6" t="s">
        <v>572</v>
      </c>
      <c r="H4" s="6" t="s">
        <v>573</v>
      </c>
      <c r="I4" s="6" t="s">
        <v>574</v>
      </c>
      <c r="J4" s="6" t="s">
        <v>575</v>
      </c>
    </row>
    <row r="5" customFormat="false" ht="15" hidden="false" customHeight="false" outlineLevel="0" collapsed="false">
      <c r="A5" s="26" t="str">
        <f aca="false">'Plan de comptes'!A5</f>
        <v>A-PSP-WAVE</v>
      </c>
      <c r="B5" s="26" t="str">
        <f aca="false">'Plan de comptes'!B5</f>
        <v>Créance sur Wave</v>
      </c>
      <c r="C5" s="26" t="str">
        <f aca="false">'Plan de comptes'!C5</f>
        <v>Argent</v>
      </c>
      <c r="D5" s="26" t="str">
        <f aca="false">'Plan de comptes'!D5</f>
        <v>ORG</v>
      </c>
      <c r="E5" s="16" t="n">
        <f aca="false">SUMIFS(Journal!$H$5:$H$500,Journal!$F$5:$F$500,A5,Journal!$A$5:$A$500,"&lt;="&amp;Paramètres!$C$26)</f>
        <v>20000</v>
      </c>
      <c r="F5" s="16" t="n">
        <f aca="false">SUMIFS(Journal!$I$5:$I$500,Journal!$F$5:$F$500,A5,Journal!$A$5:$A$500,"&lt;="&amp;Paramètres!$C$26)</f>
        <v>20000</v>
      </c>
      <c r="G5" s="16" t="n">
        <f aca="false">E5-F5</f>
        <v>0</v>
      </c>
      <c r="H5" s="16" t="n">
        <f aca="false">MAX(0,G5)</f>
        <v>0</v>
      </c>
      <c r="I5" s="16" t="n">
        <f aca="false">MAX(0,-G5)</f>
        <v>-0</v>
      </c>
      <c r="J5" s="7" t="str">
        <f aca="false">IF(AND('Plan de comptes'!F5="Non",OR(AND('Plan de comptes'!E5="D",G5&lt;0),AND('Plan de comptes'!E5="C",G5&gt;0))),"ALERTE","OK")</f>
        <v>OK</v>
      </c>
    </row>
    <row r="6" customFormat="false" ht="15" hidden="false" customHeight="false" outlineLevel="0" collapsed="false">
      <c r="A6" s="26" t="str">
        <f aca="false">'Plan de comptes'!A6</f>
        <v>A-PSP-OM</v>
      </c>
      <c r="B6" s="26" t="str">
        <f aca="false">'Plan de comptes'!B6</f>
        <v>Créance sur Orange Money</v>
      </c>
      <c r="C6" s="26" t="str">
        <f aca="false">'Plan de comptes'!C6</f>
        <v>Argent</v>
      </c>
      <c r="D6" s="26" t="str">
        <f aca="false">'Plan de comptes'!D6</f>
        <v>ORG</v>
      </c>
      <c r="E6" s="16" t="n">
        <f aca="false">SUMIFS(Journal!$H$5:$H$500,Journal!$F$5:$F$500,A6,Journal!$A$5:$A$500,"&lt;="&amp;Paramètres!$C$26)</f>
        <v>15000</v>
      </c>
      <c r="F6" s="16" t="n">
        <f aca="false">SUMIFS(Journal!$I$5:$I$500,Journal!$F$5:$F$500,A6,Journal!$A$5:$A$500,"&lt;="&amp;Paramètres!$C$26)</f>
        <v>15000</v>
      </c>
      <c r="G6" s="16" t="n">
        <f aca="false">E6-F6</f>
        <v>0</v>
      </c>
      <c r="H6" s="16" t="n">
        <f aca="false">MAX(0,G6)</f>
        <v>0</v>
      </c>
      <c r="I6" s="16" t="n">
        <f aca="false">MAX(0,-G6)</f>
        <v>-0</v>
      </c>
      <c r="J6" s="7" t="str">
        <f aca="false">IF(AND('Plan de comptes'!F6="Non",OR(AND('Plan de comptes'!E6="D",G6&lt;0),AND('Plan de comptes'!E6="C",G6&gt;0))),"ALERTE","OK")</f>
        <v>OK</v>
      </c>
    </row>
    <row r="7" customFormat="false" ht="15" hidden="false" customHeight="false" outlineLevel="0" collapsed="false">
      <c r="A7" s="26" t="str">
        <f aca="false">'Plan de comptes'!A7</f>
        <v>A-PSP-CARTE</v>
      </c>
      <c r="B7" s="26" t="str">
        <f aca="false">'Plan de comptes'!B7</f>
        <v>Créance sur PSP carte</v>
      </c>
      <c r="C7" s="26" t="str">
        <f aca="false">'Plan de comptes'!C7</f>
        <v>Argent</v>
      </c>
      <c r="D7" s="26" t="str">
        <f aca="false">'Plan de comptes'!D7</f>
        <v>ORG</v>
      </c>
      <c r="E7" s="16" t="n">
        <f aca="false">SUMIFS(Journal!$H$5:$H$500,Journal!$F$5:$F$500,A7,Journal!$A$5:$A$500,"&lt;="&amp;Paramètres!$C$26)</f>
        <v>30000</v>
      </c>
      <c r="F7" s="16" t="n">
        <f aca="false">SUMIFS(Journal!$I$5:$I$500,Journal!$F$5:$F$500,A7,Journal!$A$5:$A$500,"&lt;="&amp;Paramètres!$C$26)</f>
        <v>30000</v>
      </c>
      <c r="G7" s="16" t="n">
        <f aca="false">E7-F7</f>
        <v>0</v>
      </c>
      <c r="H7" s="16" t="n">
        <f aca="false">MAX(0,G7)</f>
        <v>0</v>
      </c>
      <c r="I7" s="16" t="n">
        <f aca="false">MAX(0,-G7)</f>
        <v>-0</v>
      </c>
      <c r="J7" s="7" t="str">
        <f aca="false">IF(AND('Plan de comptes'!F7="Non",OR(AND('Plan de comptes'!E7="D",G7&lt;0),AND('Plan de comptes'!E7="C",G7&gt;0))),"ALERTE","OK")</f>
        <v>OK</v>
      </c>
    </row>
    <row r="8" customFormat="false" ht="15" hidden="false" customHeight="false" outlineLevel="0" collapsed="false">
      <c r="A8" s="26" t="str">
        <f aca="false">'Plan de comptes'!A8</f>
        <v>A-CAISSE-C1</v>
      </c>
      <c r="B8" s="26" t="str">
        <f aca="false">'Plan de comptes'!B8</f>
        <v>Caisse de recharge C1 (espèces)</v>
      </c>
      <c r="C8" s="26" t="str">
        <f aca="false">'Plan de comptes'!C8</f>
        <v>Argent</v>
      </c>
      <c r="D8" s="26" t="str">
        <f aca="false">'Plan de comptes'!D8</f>
        <v>ORG</v>
      </c>
      <c r="E8" s="16" t="n">
        <f aca="false">SUMIFS(Journal!$H$5:$H$500,Journal!$F$5:$F$500,A8,Journal!$A$5:$A$500,"&lt;="&amp;Paramètres!$C$26)</f>
        <v>37000</v>
      </c>
      <c r="F8" s="16" t="n">
        <f aca="false">SUMIFS(Journal!$I$5:$I$500,Journal!$F$5:$F$500,A8,Journal!$A$5:$A$500,"&lt;="&amp;Paramètres!$C$26)</f>
        <v>37000</v>
      </c>
      <c r="G8" s="16" t="n">
        <f aca="false">E8-F8</f>
        <v>0</v>
      </c>
      <c r="H8" s="16" t="n">
        <f aca="false">MAX(0,G8)</f>
        <v>0</v>
      </c>
      <c r="I8" s="16" t="n">
        <f aca="false">MAX(0,-G8)</f>
        <v>-0</v>
      </c>
      <c r="J8" s="7" t="str">
        <f aca="false">IF(AND('Plan de comptes'!F8="Non",OR(AND('Plan de comptes'!E8="D",G8&lt;0),AND('Plan de comptes'!E8="C",G8&gt;0))),"ALERTE","OK")</f>
        <v>OK</v>
      </c>
    </row>
    <row r="9" customFormat="false" ht="15" hidden="false" customHeight="false" outlineLevel="0" collapsed="false">
      <c r="A9" s="26" t="str">
        <f aca="false">'Plan de comptes'!A9</f>
        <v>A-TRANSIT</v>
      </c>
      <c r="B9" s="26" t="str">
        <f aca="false">'Plan de comptes'!B9</f>
        <v>Espèces en transit vers la banque</v>
      </c>
      <c r="C9" s="26" t="str">
        <f aca="false">'Plan de comptes'!C9</f>
        <v>Argent</v>
      </c>
      <c r="D9" s="26" t="str">
        <f aca="false">'Plan de comptes'!D9</f>
        <v>ORG</v>
      </c>
      <c r="E9" s="16" t="n">
        <f aca="false">SUMIFS(Journal!$H$5:$H$500,Journal!$F$5:$F$500,A9,Journal!$A$5:$A$500,"&lt;="&amp;Paramètres!$C$26)</f>
        <v>36800</v>
      </c>
      <c r="F9" s="16" t="n">
        <f aca="false">SUMIFS(Journal!$I$5:$I$500,Journal!$F$5:$F$500,A9,Journal!$A$5:$A$500,"&lt;="&amp;Paramètres!$C$26)</f>
        <v>36800</v>
      </c>
      <c r="G9" s="16" t="n">
        <f aca="false">E9-F9</f>
        <v>0</v>
      </c>
      <c r="H9" s="16" t="n">
        <f aca="false">MAX(0,G9)</f>
        <v>0</v>
      </c>
      <c r="I9" s="16" t="n">
        <f aca="false">MAX(0,-G9)</f>
        <v>-0</v>
      </c>
      <c r="J9" s="7" t="str">
        <f aca="false">IF(AND('Plan de comptes'!F9="Non",OR(AND('Plan de comptes'!E9="D",G9&lt;0),AND('Plan de comptes'!E9="C",G9&gt;0))),"ALERTE","OK")</f>
        <v>OK</v>
      </c>
    </row>
    <row r="10" customFormat="false" ht="15" hidden="false" customHeight="false" outlineLevel="0" collapsed="false">
      <c r="A10" s="26" t="str">
        <f aca="false">'Plan de comptes'!A10</f>
        <v>A-BANQUE</v>
      </c>
      <c r="B10" s="26" t="str">
        <f aca="false">'Plan de comptes'!B10</f>
        <v>Banque — compte cantonné du pool</v>
      </c>
      <c r="C10" s="26" t="str">
        <f aca="false">'Plan de comptes'!C10</f>
        <v>Argent</v>
      </c>
      <c r="D10" s="26" t="str">
        <f aca="false">'Plan de comptes'!D10</f>
        <v>ORG</v>
      </c>
      <c r="E10" s="16" t="n">
        <f aca="false">SUMIFS(Journal!$H$5:$H$500,Journal!$F$5:$F$500,A10,Journal!$A$5:$A$500,"&lt;="&amp;Paramètres!$C$26)</f>
        <v>100625</v>
      </c>
      <c r="F10" s="16" t="n">
        <f aca="false">SUMIFS(Journal!$I$5:$I$500,Journal!$F$5:$F$500,A10,Journal!$A$5:$A$500,"&lt;="&amp;Paramètres!$C$26)</f>
        <v>100625</v>
      </c>
      <c r="G10" s="16" t="n">
        <f aca="false">E10-F10</f>
        <v>0</v>
      </c>
      <c r="H10" s="16" t="n">
        <f aca="false">MAX(0,G10)</f>
        <v>0</v>
      </c>
      <c r="I10" s="16" t="n">
        <f aca="false">MAX(0,-G10)</f>
        <v>-0</v>
      </c>
      <c r="J10" s="7" t="str">
        <f aca="false">IF(AND('Plan de comptes'!F10="Non",OR(AND('Plan de comptes'!E10="D",G10&lt;0),AND('Plan de comptes'!E10="C",G10&gt;0))),"ALERTE","OK")</f>
        <v>OK</v>
      </c>
    </row>
    <row r="11" customFormat="false" ht="15" hidden="false" customHeight="false" outlineLevel="0" collapsed="false">
      <c r="A11" s="26" t="str">
        <f aca="false">'Plan de comptes'!A11</f>
        <v>L-WAL-W01-P</v>
      </c>
      <c r="B11" s="26" t="str">
        <f aca="false">'Plan de comptes'!B11</f>
        <v>Portefeuille W01 Awa — crédits payés</v>
      </c>
      <c r="C11" s="26" t="str">
        <f aca="false">'Plan de comptes'!C11</f>
        <v>Droit</v>
      </c>
      <c r="D11" s="26" t="str">
        <f aca="false">'Plan de comptes'!D11</f>
        <v>W01</v>
      </c>
      <c r="E11" s="16" t="n">
        <f aca="false">SUMIFS(Journal!$H$5:$H$500,Journal!$F$5:$F$500,A11,Journal!$A$5:$A$500,"&lt;="&amp;Paramètres!$C$26)</f>
        <v>20000</v>
      </c>
      <c r="F11" s="16" t="n">
        <f aca="false">SUMIFS(Journal!$I$5:$I$500,Journal!$F$5:$F$500,A11,Journal!$A$5:$A$500,"&lt;="&amp;Paramètres!$C$26)</f>
        <v>20000</v>
      </c>
      <c r="G11" s="16" t="n">
        <f aca="false">E11-F11</f>
        <v>0</v>
      </c>
      <c r="H11" s="16" t="n">
        <f aca="false">MAX(0,G11)</f>
        <v>0</v>
      </c>
      <c r="I11" s="16" t="n">
        <f aca="false">MAX(0,-G11)</f>
        <v>-0</v>
      </c>
      <c r="J11" s="7" t="str">
        <f aca="false">IF(AND('Plan de comptes'!F11="Non",OR(AND('Plan de comptes'!E11="D",G11&lt;0),AND('Plan de comptes'!E11="C",G11&gt;0))),"ALERTE","OK")</f>
        <v>OK</v>
      </c>
    </row>
    <row r="12" customFormat="false" ht="15" hidden="false" customHeight="false" outlineLevel="0" collapsed="false">
      <c r="A12" s="26" t="str">
        <f aca="false">'Plan de comptes'!A12</f>
        <v>L-WAL-W02-P</v>
      </c>
      <c r="B12" s="26" t="str">
        <f aca="false">'Plan de comptes'!B12</f>
        <v>Portefeuille W02 Moussa — crédits payés</v>
      </c>
      <c r="C12" s="26" t="str">
        <f aca="false">'Plan de comptes'!C12</f>
        <v>Droit</v>
      </c>
      <c r="D12" s="26" t="str">
        <f aca="false">'Plan de comptes'!D12</f>
        <v>W02</v>
      </c>
      <c r="E12" s="16" t="n">
        <f aca="false">SUMIFS(Journal!$H$5:$H$500,Journal!$F$5:$F$500,A12,Journal!$A$5:$A$500,"&lt;="&amp;Paramètres!$C$26)</f>
        <v>15000</v>
      </c>
      <c r="F12" s="16" t="n">
        <f aca="false">SUMIFS(Journal!$I$5:$I$500,Journal!$F$5:$F$500,A12,Journal!$A$5:$A$500,"&lt;="&amp;Paramètres!$C$26)</f>
        <v>15000</v>
      </c>
      <c r="G12" s="16" t="n">
        <f aca="false">E12-F12</f>
        <v>0</v>
      </c>
      <c r="H12" s="16" t="n">
        <f aca="false">MAX(0,G12)</f>
        <v>0</v>
      </c>
      <c r="I12" s="16" t="n">
        <f aca="false">MAX(0,-G12)</f>
        <v>-0</v>
      </c>
      <c r="J12" s="7" t="str">
        <f aca="false">IF(AND('Plan de comptes'!F12="Non",OR(AND('Plan de comptes'!E12="D",G12&lt;0),AND('Plan de comptes'!E12="C",G12&gt;0))),"ALERTE","OK")</f>
        <v>OK</v>
      </c>
    </row>
    <row r="13" customFormat="false" ht="15" hidden="false" customHeight="false" outlineLevel="0" collapsed="false">
      <c r="A13" s="26" t="str">
        <f aca="false">'Plan de comptes'!A13</f>
        <v>L-WAL-W03-P</v>
      </c>
      <c r="B13" s="26" t="str">
        <f aca="false">'Plan de comptes'!B13</f>
        <v>Portefeuille W03 Fatou — crédits payés</v>
      </c>
      <c r="C13" s="26" t="str">
        <f aca="false">'Plan de comptes'!C13</f>
        <v>Droit</v>
      </c>
      <c r="D13" s="26" t="str">
        <f aca="false">'Plan de comptes'!D13</f>
        <v>W03</v>
      </c>
      <c r="E13" s="16" t="n">
        <f aca="false">SUMIFS(Journal!$H$5:$H$500,Journal!$F$5:$F$500,A13,Journal!$A$5:$A$500,"&lt;="&amp;Paramètres!$C$26)</f>
        <v>30000</v>
      </c>
      <c r="F13" s="16" t="n">
        <f aca="false">SUMIFS(Journal!$I$5:$I$500,Journal!$F$5:$F$500,A13,Journal!$A$5:$A$500,"&lt;="&amp;Paramètres!$C$26)</f>
        <v>30000</v>
      </c>
      <c r="G13" s="16" t="n">
        <f aca="false">E13-F13</f>
        <v>0</v>
      </c>
      <c r="H13" s="16" t="n">
        <f aca="false">MAX(0,G13)</f>
        <v>0</v>
      </c>
      <c r="I13" s="16" t="n">
        <f aca="false">MAX(0,-G13)</f>
        <v>-0</v>
      </c>
      <c r="J13" s="7" t="str">
        <f aca="false">IF(AND('Plan de comptes'!F13="Non",OR(AND('Plan de comptes'!E13="D",G13&lt;0),AND('Plan de comptes'!E13="C",G13&gt;0))),"ALERTE","OK")</f>
        <v>OK</v>
      </c>
    </row>
    <row r="14" customFormat="false" ht="15" hidden="false" customHeight="false" outlineLevel="0" collapsed="false">
      <c r="A14" s="26" t="str">
        <f aca="false">'Plan de comptes'!A14</f>
        <v>L-WAL-W04-P</v>
      </c>
      <c r="B14" s="26" t="str">
        <f aca="false">'Plan de comptes'!B14</f>
        <v>Portefeuille W04 Jean — crédits payés</v>
      </c>
      <c r="C14" s="26" t="str">
        <f aca="false">'Plan de comptes'!C14</f>
        <v>Droit</v>
      </c>
      <c r="D14" s="26" t="str">
        <f aca="false">'Plan de comptes'!D14</f>
        <v>W04</v>
      </c>
      <c r="E14" s="16" t="n">
        <f aca="false">SUMIFS(Journal!$H$5:$H$500,Journal!$F$5:$F$500,A14,Journal!$A$5:$A$500,"&lt;="&amp;Paramètres!$C$26)</f>
        <v>16000</v>
      </c>
      <c r="F14" s="16" t="n">
        <f aca="false">SUMIFS(Journal!$I$5:$I$500,Journal!$F$5:$F$500,A14,Journal!$A$5:$A$500,"&lt;="&amp;Paramètres!$C$26)</f>
        <v>16000</v>
      </c>
      <c r="G14" s="16" t="n">
        <f aca="false">E14-F14</f>
        <v>0</v>
      </c>
      <c r="H14" s="16" t="n">
        <f aca="false">MAX(0,G14)</f>
        <v>0</v>
      </c>
      <c r="I14" s="16" t="n">
        <f aca="false">MAX(0,-G14)</f>
        <v>-0</v>
      </c>
      <c r="J14" s="7" t="str">
        <f aca="false">IF(AND('Plan de comptes'!F14="Non",OR(AND('Plan de comptes'!E14="D",G14&lt;0),AND('Plan de comptes'!E14="C",G14&gt;0))),"ALERTE","OK")</f>
        <v>OK</v>
      </c>
    </row>
    <row r="15" customFormat="false" ht="15" hidden="false" customHeight="false" outlineLevel="0" collapsed="false">
      <c r="A15" s="26" t="str">
        <f aca="false">'Plan de comptes'!A15</f>
        <v>L-WAL-W05-P</v>
      </c>
      <c r="B15" s="26" t="str">
        <f aca="false">'Plan de comptes'!B15</f>
        <v>Portefeuille W05 Aminata — crédits payés</v>
      </c>
      <c r="C15" s="26" t="str">
        <f aca="false">'Plan de comptes'!C15</f>
        <v>Droit</v>
      </c>
      <c r="D15" s="26" t="str">
        <f aca="false">'Plan de comptes'!D15</f>
        <v>W05</v>
      </c>
      <c r="E15" s="16" t="n">
        <f aca="false">SUMIFS(Journal!$H$5:$H$500,Journal!$F$5:$F$500,A15,Journal!$A$5:$A$500,"&lt;="&amp;Paramètres!$C$26)</f>
        <v>27000</v>
      </c>
      <c r="F15" s="16" t="n">
        <f aca="false">SUMIFS(Journal!$I$5:$I$500,Journal!$F$5:$F$500,A15,Journal!$A$5:$A$500,"&lt;="&amp;Paramètres!$C$26)</f>
        <v>27000</v>
      </c>
      <c r="G15" s="16" t="n">
        <f aca="false">E15-F15</f>
        <v>0</v>
      </c>
      <c r="H15" s="16" t="n">
        <f aca="false">MAX(0,G15)</f>
        <v>0</v>
      </c>
      <c r="I15" s="16" t="n">
        <f aca="false">MAX(0,-G15)</f>
        <v>-0</v>
      </c>
      <c r="J15" s="7" t="str">
        <f aca="false">IF(AND('Plan de comptes'!F15="Non",OR(AND('Plan de comptes'!E15="D",G15&lt;0),AND('Plan de comptes'!E15="C",G15&gt;0))),"ALERTE","OK")</f>
        <v>OK</v>
      </c>
    </row>
    <row r="16" customFormat="false" ht="15" hidden="false" customHeight="false" outlineLevel="0" collapsed="false">
      <c r="A16" s="26" t="str">
        <f aca="false">'Plan de comptes'!A16</f>
        <v>L-WAL-W06-X</v>
      </c>
      <c r="B16" s="26" t="str">
        <f aca="false">'Plan de comptes'!B16</f>
        <v>Portefeuille W06 Ibou — crédits offerts</v>
      </c>
      <c r="C16" s="26" t="str">
        <f aca="false">'Plan de comptes'!C16</f>
        <v>Droit</v>
      </c>
      <c r="D16" s="26" t="str">
        <f aca="false">'Plan de comptes'!D16</f>
        <v>W06</v>
      </c>
      <c r="E16" s="16" t="n">
        <f aca="false">SUMIFS(Journal!$H$5:$H$500,Journal!$F$5:$F$500,A16,Journal!$A$5:$A$500,"&lt;="&amp;Paramètres!$C$26)</f>
        <v>6000</v>
      </c>
      <c r="F16" s="16" t="n">
        <f aca="false">SUMIFS(Journal!$I$5:$I$500,Journal!$F$5:$F$500,A16,Journal!$A$5:$A$500,"&lt;="&amp;Paramètres!$C$26)</f>
        <v>6000</v>
      </c>
      <c r="G16" s="16" t="n">
        <f aca="false">E16-F16</f>
        <v>0</v>
      </c>
      <c r="H16" s="16" t="n">
        <f aca="false">MAX(0,G16)</f>
        <v>0</v>
      </c>
      <c r="I16" s="16" t="n">
        <f aca="false">MAX(0,-G16)</f>
        <v>-0</v>
      </c>
      <c r="J16" s="7" t="str">
        <f aca="false">IF(AND('Plan de comptes'!F16="Non",OR(AND('Plan de comptes'!E16="D",G16&lt;0),AND('Plan de comptes'!E16="C",G16&gt;0))),"ALERTE","OK")</f>
        <v>OK</v>
      </c>
    </row>
    <row r="17" customFormat="false" ht="15" hidden="false" customHeight="false" outlineLevel="0" collapsed="false">
      <c r="A17" s="26" t="str">
        <f aca="false">'Plan de comptes'!A17</f>
        <v>L-MCH-BAR</v>
      </c>
      <c r="B17" s="26" t="str">
        <f aca="false">'Plan de comptes'!B17</f>
        <v>Commerçant interne — Bar de l'organisateur</v>
      </c>
      <c r="C17" s="26" t="str">
        <f aca="false">'Plan de comptes'!C17</f>
        <v>Droit</v>
      </c>
      <c r="D17" s="26" t="str">
        <f aca="false">'Plan de comptes'!D17</f>
        <v>BAR</v>
      </c>
      <c r="E17" s="16" t="n">
        <f aca="false">SUMIFS(Journal!$H$5:$H$500,Journal!$F$5:$F$500,A17,Journal!$A$5:$A$500,"&lt;="&amp;Paramètres!$C$26)</f>
        <v>24500</v>
      </c>
      <c r="F17" s="16" t="n">
        <f aca="false">SUMIFS(Journal!$I$5:$I$500,Journal!$F$5:$F$500,A17,Journal!$A$5:$A$500,"&lt;="&amp;Paramètres!$C$26)</f>
        <v>24500</v>
      </c>
      <c r="G17" s="16" t="n">
        <f aca="false">E17-F17</f>
        <v>0</v>
      </c>
      <c r="H17" s="16" t="n">
        <f aca="false">MAX(0,G17)</f>
        <v>0</v>
      </c>
      <c r="I17" s="16" t="n">
        <f aca="false">MAX(0,-G17)</f>
        <v>-0</v>
      </c>
      <c r="J17" s="7" t="str">
        <f aca="false">IF(AND('Plan de comptes'!F17="Non",OR(AND('Plan de comptes'!E17="D",G17&lt;0),AND('Plan de comptes'!E17="C",G17&gt;0))),"ALERTE","OK")</f>
        <v>OK</v>
      </c>
    </row>
    <row r="18" customFormat="false" ht="15" hidden="false" customHeight="false" outlineLevel="0" collapsed="false">
      <c r="A18" s="26" t="str">
        <f aca="false">'Plan de comptes'!A18</f>
        <v>L-MCH-FOOD</v>
      </c>
      <c r="B18" s="26" t="str">
        <f aca="false">'Plan de comptes'!B18</f>
        <v>Commerçant externe — Food truck</v>
      </c>
      <c r="C18" s="26" t="str">
        <f aca="false">'Plan de comptes'!C18</f>
        <v>Droit</v>
      </c>
      <c r="D18" s="26" t="str">
        <f aca="false">'Plan de comptes'!D18</f>
        <v>FOOD</v>
      </c>
      <c r="E18" s="16" t="n">
        <f aca="false">SUMIFS(Journal!$H$5:$H$500,Journal!$F$5:$F$500,A18,Journal!$A$5:$A$500,"&lt;="&amp;Paramètres!$C$26)</f>
        <v>30000</v>
      </c>
      <c r="F18" s="16" t="n">
        <f aca="false">SUMIFS(Journal!$I$5:$I$500,Journal!$F$5:$F$500,A18,Journal!$A$5:$A$500,"&lt;="&amp;Paramètres!$C$26)</f>
        <v>30000</v>
      </c>
      <c r="G18" s="16" t="n">
        <f aca="false">E18-F18</f>
        <v>0</v>
      </c>
      <c r="H18" s="16" t="n">
        <f aca="false">MAX(0,G18)</f>
        <v>0</v>
      </c>
      <c r="I18" s="16" t="n">
        <f aca="false">MAX(0,-G18)</f>
        <v>-0</v>
      </c>
      <c r="J18" s="7" t="str">
        <f aca="false">IF(AND('Plan de comptes'!F18="Non",OR(AND('Plan de comptes'!E18="D",G18&lt;0),AND('Plan de comptes'!E18="C",G18&gt;0))),"ALERTE","OK")</f>
        <v>OK</v>
      </c>
    </row>
    <row r="19" customFormat="false" ht="15" hidden="false" customHeight="false" outlineLevel="0" collapsed="false">
      <c r="A19" s="26" t="str">
        <f aca="false">'Plan de comptes'!A19</f>
        <v>L-MCH-TEE</v>
      </c>
      <c r="B19" s="26" t="str">
        <f aca="false">'Plan de comptes'!B19</f>
        <v>Commerçant externe — Tee-shirts</v>
      </c>
      <c r="C19" s="26" t="str">
        <f aca="false">'Plan de comptes'!C19</f>
        <v>Droit</v>
      </c>
      <c r="D19" s="26" t="str">
        <f aca="false">'Plan de comptes'!D19</f>
        <v>TEE</v>
      </c>
      <c r="E19" s="16" t="n">
        <f aca="false">SUMIFS(Journal!$H$5:$H$500,Journal!$F$5:$F$500,A19,Journal!$A$5:$A$500,"&lt;="&amp;Paramètres!$C$26)</f>
        <v>28000</v>
      </c>
      <c r="F19" s="16" t="n">
        <f aca="false">SUMIFS(Journal!$I$5:$I$500,Journal!$F$5:$F$500,A19,Journal!$A$5:$A$500,"&lt;="&amp;Paramètres!$C$26)</f>
        <v>28000</v>
      </c>
      <c r="G19" s="16" t="n">
        <f aca="false">E19-F19</f>
        <v>0</v>
      </c>
      <c r="H19" s="16" t="n">
        <f aca="false">MAX(0,G19)</f>
        <v>0</v>
      </c>
      <c r="I19" s="16" t="n">
        <f aca="false">MAX(0,-G19)</f>
        <v>-0</v>
      </c>
      <c r="J19" s="7" t="str">
        <f aca="false">IF(AND('Plan de comptes'!F19="Non",OR(AND('Plan de comptes'!E19="D",G19&lt;0),AND('Plan de comptes'!E19="C",G19&gt;0))),"ALERTE","OK")</f>
        <v>OK</v>
      </c>
    </row>
    <row r="20" customFormat="false" ht="15" hidden="false" customHeight="false" outlineLevel="0" collapsed="false">
      <c r="A20" s="26" t="str">
        <f aca="false">'Plan de comptes'!A20</f>
        <v>L-ORG-COM</v>
      </c>
      <c r="B20" s="26" t="str">
        <f aca="false">'Plan de comptes'!B20</f>
        <v>Organisateur — commissions</v>
      </c>
      <c r="C20" s="26" t="str">
        <f aca="false">'Plan de comptes'!C20</f>
        <v>Droit</v>
      </c>
      <c r="D20" s="26" t="str">
        <f aca="false">'Plan de comptes'!D20</f>
        <v>ORG</v>
      </c>
      <c r="E20" s="16" t="n">
        <f aca="false">SUMIFS(Journal!$H$5:$H$500,Journal!$F$5:$F$500,A20,Journal!$A$5:$A$500,"&lt;="&amp;Paramètres!$C$26)</f>
        <v>0</v>
      </c>
      <c r="F20" s="16" t="n">
        <f aca="false">SUMIFS(Journal!$I$5:$I$500,Journal!$F$5:$F$500,A20,Journal!$A$5:$A$500,"&lt;="&amp;Paramètres!$C$26)</f>
        <v>4745</v>
      </c>
      <c r="G20" s="16" t="n">
        <f aca="false">E20-F20</f>
        <v>-4745</v>
      </c>
      <c r="H20" s="16" t="n">
        <f aca="false">MAX(0,G20)</f>
        <v>0</v>
      </c>
      <c r="I20" s="16" t="n">
        <f aca="false">MAX(0,-G20)</f>
        <v>4745</v>
      </c>
      <c r="J20" s="7" t="str">
        <f aca="false">IF(AND('Plan de comptes'!F20="Non",OR(AND('Plan de comptes'!E20="D",G20&lt;0),AND('Plan de comptes'!E20="C",G20&gt;0))),"ALERTE","OK")</f>
        <v>OK</v>
      </c>
    </row>
    <row r="21" customFormat="false" ht="15" hidden="false" customHeight="false" outlineLevel="0" collapsed="false">
      <c r="A21" s="26" t="str">
        <f aca="false">'Plan de comptes'!A21</f>
        <v>L-ORG-PLACE</v>
      </c>
      <c r="B21" s="26" t="str">
        <f aca="false">'Plan de comptes'!B21</f>
        <v>Organisateur — droits de place</v>
      </c>
      <c r="C21" s="26" t="str">
        <f aca="false">'Plan de comptes'!C21</f>
        <v>Droit</v>
      </c>
      <c r="D21" s="26" t="str">
        <f aca="false">'Plan de comptes'!D21</f>
        <v>ORG</v>
      </c>
      <c r="E21" s="16" t="n">
        <f aca="false">SUMIFS(Journal!$H$5:$H$500,Journal!$F$5:$F$500,A21,Journal!$A$5:$A$500,"&lt;="&amp;Paramètres!$C$26)</f>
        <v>0</v>
      </c>
      <c r="F21" s="16" t="n">
        <f aca="false">SUMIFS(Journal!$I$5:$I$500,Journal!$F$5:$F$500,A21,Journal!$A$5:$A$500,"&lt;="&amp;Paramètres!$C$26)</f>
        <v>21186</v>
      </c>
      <c r="G21" s="16" t="n">
        <f aca="false">E21-F21</f>
        <v>-21186</v>
      </c>
      <c r="H21" s="16" t="n">
        <f aca="false">MAX(0,G21)</f>
        <v>0</v>
      </c>
      <c r="I21" s="16" t="n">
        <f aca="false">MAX(0,-G21)</f>
        <v>21186</v>
      </c>
      <c r="J21" s="7" t="str">
        <f aca="false">IF(AND('Plan de comptes'!F21="Non",OR(AND('Plan de comptes'!E21="D",G21&lt;0),AND('Plan de comptes'!E21="C",G21&gt;0))),"ALERTE","OK")</f>
        <v>OK</v>
      </c>
    </row>
    <row r="22" customFormat="false" ht="15" hidden="false" customHeight="false" outlineLevel="0" collapsed="false">
      <c r="A22" s="26" t="str">
        <f aca="false">'Plan de comptes'!A22</f>
        <v>L-ORG-FFEST</v>
      </c>
      <c r="B22" s="26" t="str">
        <f aca="false">'Plan de comptes'!B22</f>
        <v>Organisateur — frais festivaliers</v>
      </c>
      <c r="C22" s="26" t="str">
        <f aca="false">'Plan de comptes'!C22</f>
        <v>Droit</v>
      </c>
      <c r="D22" s="26" t="str">
        <f aca="false">'Plan de comptes'!D22</f>
        <v>ORG</v>
      </c>
      <c r="E22" s="16" t="n">
        <f aca="false">SUMIFS(Journal!$H$5:$H$500,Journal!$F$5:$F$500,A22,Journal!$A$5:$A$500,"&lt;="&amp;Paramètres!$C$26)</f>
        <v>0</v>
      </c>
      <c r="F22" s="16" t="n">
        <f aca="false">SUMIFS(Journal!$I$5:$I$500,Journal!$F$5:$F$500,A22,Journal!$A$5:$A$500,"&lt;="&amp;Paramètres!$C$26)</f>
        <v>5085</v>
      </c>
      <c r="G22" s="16" t="n">
        <f aca="false">E22-F22</f>
        <v>-5085</v>
      </c>
      <c r="H22" s="16" t="n">
        <f aca="false">MAX(0,G22)</f>
        <v>0</v>
      </c>
      <c r="I22" s="16" t="n">
        <f aca="false">MAX(0,-G22)</f>
        <v>5085</v>
      </c>
      <c r="J22" s="7" t="str">
        <f aca="false">IF(AND('Plan de comptes'!F22="Non",OR(AND('Plan de comptes'!E22="D",G22&lt;0),AND('Plan de comptes'!E22="C",G22&gt;0))),"ALERTE","OK")</f>
        <v>OK</v>
      </c>
    </row>
    <row r="23" customFormat="false" ht="15" hidden="false" customHeight="false" outlineLevel="0" collapsed="false">
      <c r="A23" s="26" t="str">
        <f aca="false">'Plan de comptes'!A23</f>
        <v>L-ORG-TVA</v>
      </c>
      <c r="B23" s="26" t="str">
        <f aca="false">'Plan de comptes'!B23</f>
        <v>Organisateur — taxe collectée (à reverser à l'État)</v>
      </c>
      <c r="C23" s="26" t="str">
        <f aca="false">'Plan de comptes'!C23</f>
        <v>Droit</v>
      </c>
      <c r="D23" s="26" t="str">
        <f aca="false">'Plan de comptes'!D23</f>
        <v>ORG</v>
      </c>
      <c r="E23" s="16" t="n">
        <f aca="false">SUMIFS(Journal!$H$5:$H$500,Journal!$F$5:$F$500,A23,Journal!$A$5:$A$500,"&lt;="&amp;Paramètres!$C$26)</f>
        <v>0</v>
      </c>
      <c r="F23" s="16" t="n">
        <f aca="false">SUMIFS(Journal!$I$5:$I$500,Journal!$F$5:$F$500,A23,Journal!$A$5:$A$500,"&lt;="&amp;Paramètres!$C$26)</f>
        <v>5584</v>
      </c>
      <c r="G23" s="16" t="n">
        <f aca="false">E23-F23</f>
        <v>-5584</v>
      </c>
      <c r="H23" s="16" t="n">
        <f aca="false">MAX(0,G23)</f>
        <v>0</v>
      </c>
      <c r="I23" s="16" t="n">
        <f aca="false">MAX(0,-G23)</f>
        <v>5584</v>
      </c>
      <c r="J23" s="7" t="str">
        <f aca="false">IF(AND('Plan de comptes'!F23="Non",OR(AND('Plan de comptes'!E23="D",G23&lt;0),AND('Plan de comptes'!E23="C",G23&gt;0))),"ALERTE","OK")</f>
        <v>OK</v>
      </c>
    </row>
    <row r="24" customFormat="false" ht="15" hidden="false" customHeight="false" outlineLevel="0" collapsed="false">
      <c r="A24" s="26" t="str">
        <f aca="false">'Plan de comptes'!A24</f>
        <v>L-ORG-CASSE</v>
      </c>
      <c r="B24" s="26" t="str">
        <f aca="false">'Plan de comptes'!B24</f>
        <v>Organisateur — casse (soldes non réclamés)</v>
      </c>
      <c r="C24" s="26" t="str">
        <f aca="false">'Plan de comptes'!C24</f>
        <v>Droit</v>
      </c>
      <c r="D24" s="26" t="str">
        <f aca="false">'Plan de comptes'!D24</f>
        <v>ORG</v>
      </c>
      <c r="E24" s="16" t="n">
        <f aca="false">SUMIFS(Journal!$H$5:$H$500,Journal!$F$5:$F$500,A24,Journal!$A$5:$A$500,"&lt;="&amp;Paramètres!$C$26)</f>
        <v>0</v>
      </c>
      <c r="F24" s="16" t="n">
        <f aca="false">SUMIFS(Journal!$I$5:$I$500,Journal!$F$5:$F$500,A24,Journal!$A$5:$A$500,"&lt;="&amp;Paramètres!$C$26)</f>
        <v>16000</v>
      </c>
      <c r="G24" s="16" t="n">
        <f aca="false">E24-F24</f>
        <v>-16000</v>
      </c>
      <c r="H24" s="16" t="n">
        <f aca="false">MAX(0,G24)</f>
        <v>0</v>
      </c>
      <c r="I24" s="16" t="n">
        <f aca="false">MAX(0,-G24)</f>
        <v>16000</v>
      </c>
      <c r="J24" s="7" t="str">
        <f aca="false">IF(AND('Plan de comptes'!F24="Non",OR(AND('Plan de comptes'!E24="D",G24&lt;0),AND('Plan de comptes'!E24="C",G24&gt;0))),"ALERTE","OK")</f>
        <v>OK</v>
      </c>
    </row>
    <row r="25" customFormat="false" ht="15" hidden="false" customHeight="false" outlineLevel="0" collapsed="false">
      <c r="A25" s="26" t="str">
        <f aca="false">'Plan de comptes'!A25</f>
        <v>L-ORG-CAUTION</v>
      </c>
      <c r="B25" s="26" t="str">
        <f aca="false">'Plan de comptes'!B25</f>
        <v>Organisateur — cautions détenues (à rendre)</v>
      </c>
      <c r="C25" s="26" t="str">
        <f aca="false">'Plan de comptes'!C25</f>
        <v>Droit</v>
      </c>
      <c r="D25" s="26" t="str">
        <f aca="false">'Plan de comptes'!D25</f>
        <v>ORG</v>
      </c>
      <c r="E25" s="16" t="n">
        <f aca="false">SUMIFS(Journal!$H$5:$H$500,Journal!$F$5:$F$500,A25,Journal!$A$5:$A$500,"&lt;="&amp;Paramètres!$C$26)</f>
        <v>4000</v>
      </c>
      <c r="F25" s="16" t="n">
        <f aca="false">SUMIFS(Journal!$I$5:$I$500,Journal!$F$5:$F$500,A25,Journal!$A$5:$A$500,"&lt;="&amp;Paramètres!$C$26)</f>
        <v>4000</v>
      </c>
      <c r="G25" s="16" t="n">
        <f aca="false">E25-F25</f>
        <v>0</v>
      </c>
      <c r="H25" s="16" t="n">
        <f aca="false">MAX(0,G25)</f>
        <v>0</v>
      </c>
      <c r="I25" s="16" t="n">
        <f aca="false">MAX(0,-G25)</f>
        <v>-0</v>
      </c>
      <c r="J25" s="7" t="str">
        <f aca="false">IF(AND('Plan de comptes'!F25="Non",OR(AND('Plan de comptes'!E25="D",G25&lt;0),AND('Plan de comptes'!E25="C",G25&gt;0))),"ALERTE","OK")</f>
        <v>OK</v>
      </c>
    </row>
    <row r="26" customFormat="false" ht="15" hidden="false" customHeight="false" outlineLevel="0" collapsed="false">
      <c r="A26" s="26" t="str">
        <f aca="false">'Plan de comptes'!A26</f>
        <v>L-ORG-CAUTION-ACQ</v>
      </c>
      <c r="B26" s="26" t="str">
        <f aca="false">'Plan de comptes'!B26</f>
        <v>Organisateur — cautions acquises (bracelets non rendus)</v>
      </c>
      <c r="C26" s="26" t="str">
        <f aca="false">'Plan de comptes'!C26</f>
        <v>Droit</v>
      </c>
      <c r="D26" s="26" t="str">
        <f aca="false">'Plan de comptes'!D26</f>
        <v>ORG</v>
      </c>
      <c r="E26" s="16" t="n">
        <f aca="false">SUMIFS(Journal!$H$5:$H$500,Journal!$F$5:$F$500,A26,Journal!$A$5:$A$500,"&lt;="&amp;Paramètres!$C$26)</f>
        <v>0</v>
      </c>
      <c r="F26" s="16" t="n">
        <f aca="false">SUMIFS(Journal!$I$5:$I$500,Journal!$F$5:$F$500,A26,Journal!$A$5:$A$500,"&lt;="&amp;Paramètres!$C$26)</f>
        <v>2000</v>
      </c>
      <c r="G26" s="16" t="n">
        <f aca="false">E26-F26</f>
        <v>-2000</v>
      </c>
      <c r="H26" s="16" t="n">
        <f aca="false">MAX(0,G26)</f>
        <v>0</v>
      </c>
      <c r="I26" s="16" t="n">
        <f aca="false">MAX(0,-G26)</f>
        <v>2000</v>
      </c>
      <c r="J26" s="7" t="str">
        <f aca="false">IF(AND('Plan de comptes'!F26="Non",OR(AND('Plan de comptes'!E26="D",G26&lt;0),AND('Plan de comptes'!E26="C",G26&gt;0))),"ALERTE","OK")</f>
        <v>OK</v>
      </c>
    </row>
    <row r="27" customFormat="false" ht="15" hidden="false" customHeight="false" outlineLevel="0" collapsed="false">
      <c r="A27" s="26" t="str">
        <f aca="false">'Plan de comptes'!A27</f>
        <v>L-ORG-PROMO</v>
      </c>
      <c r="B27" s="26" t="str">
        <f aca="false">'Plan de comptes'!B27</f>
        <v>Organisateur — financement des crédits offerts</v>
      </c>
      <c r="C27" s="26" t="str">
        <f aca="false">'Plan de comptes'!C27</f>
        <v>Droit</v>
      </c>
      <c r="D27" s="26" t="str">
        <f aca="false">'Plan de comptes'!D27</f>
        <v>ORG</v>
      </c>
      <c r="E27" s="16" t="n">
        <f aca="false">SUMIFS(Journal!$H$5:$H$500,Journal!$F$5:$F$500,A27,Journal!$A$5:$A$500,"&lt;="&amp;Paramètres!$C$26)</f>
        <v>6000</v>
      </c>
      <c r="F27" s="16" t="n">
        <f aca="false">SUMIFS(Journal!$I$5:$I$500,Journal!$F$5:$F$500,A27,Journal!$A$5:$A$500,"&lt;="&amp;Paramètres!$C$26)</f>
        <v>1000</v>
      </c>
      <c r="G27" s="16" t="n">
        <f aca="false">E27-F27</f>
        <v>5000</v>
      </c>
      <c r="H27" s="16" t="n">
        <f aca="false">MAX(0,G27)</f>
        <v>5000</v>
      </c>
      <c r="I27" s="16" t="n">
        <f aca="false">MAX(0,-G27)</f>
        <v>0</v>
      </c>
      <c r="J27" s="7" t="str">
        <f aca="false">IF(AND('Plan de comptes'!F27="Non",OR(AND('Plan de comptes'!E27="D",G27&lt;0),AND('Plan de comptes'!E27="C",G27&gt;0))),"ALERTE","OK")</f>
        <v>OK</v>
      </c>
    </row>
    <row r="28" customFormat="false" ht="15" hidden="false" customHeight="false" outlineLevel="0" collapsed="false">
      <c r="A28" s="26" t="str">
        <f aca="false">'Plan de comptes'!A28</f>
        <v>L-ORG-FPSP</v>
      </c>
      <c r="B28" s="26" t="str">
        <f aca="false">'Plan de comptes'!B28</f>
        <v>Organisateur — frais PSP supportés</v>
      </c>
      <c r="C28" s="26" t="str">
        <f aca="false">'Plan de comptes'!C28</f>
        <v>Droit</v>
      </c>
      <c r="D28" s="26" t="str">
        <f aca="false">'Plan de comptes'!D28</f>
        <v>ORG</v>
      </c>
      <c r="E28" s="16" t="n">
        <f aca="false">SUMIFS(Journal!$H$5:$H$500,Journal!$F$5:$F$500,A28,Journal!$A$5:$A$500,"&lt;="&amp;Paramètres!$C$26)</f>
        <v>1175</v>
      </c>
      <c r="F28" s="16" t="n">
        <f aca="false">SUMIFS(Journal!$I$5:$I$500,Journal!$F$5:$F$500,A28,Journal!$A$5:$A$500,"&lt;="&amp;Paramètres!$C$26)</f>
        <v>0</v>
      </c>
      <c r="G28" s="16" t="n">
        <f aca="false">E28-F28</f>
        <v>1175</v>
      </c>
      <c r="H28" s="16" t="n">
        <f aca="false">MAX(0,G28)</f>
        <v>1175</v>
      </c>
      <c r="I28" s="16" t="n">
        <f aca="false">MAX(0,-G28)</f>
        <v>0</v>
      </c>
      <c r="J28" s="7" t="str">
        <f aca="false">IF(AND('Plan de comptes'!F28="Non",OR(AND('Plan de comptes'!E28="D",G28&lt;0),AND('Plan de comptes'!E28="C",G28&gt;0))),"ALERTE","OK")</f>
        <v>OK</v>
      </c>
    </row>
    <row r="29" customFormat="false" ht="15" hidden="false" customHeight="false" outlineLevel="0" collapsed="false">
      <c r="A29" s="26" t="str">
        <f aca="false">'Plan de comptes'!A29</f>
        <v>L-ORG-FPREST</v>
      </c>
      <c r="B29" s="26" t="str">
        <f aca="false">'Plan de comptes'!B29</f>
        <v>Organisateur — frais du prestataire</v>
      </c>
      <c r="C29" s="26" t="str">
        <f aca="false">'Plan de comptes'!C29</f>
        <v>Droit</v>
      </c>
      <c r="D29" s="26" t="str">
        <f aca="false">'Plan de comptes'!D29</f>
        <v>ORG</v>
      </c>
      <c r="E29" s="16" t="n">
        <f aca="false">SUMIFS(Journal!$H$5:$H$500,Journal!$F$5:$F$500,A29,Journal!$A$5:$A$500,"&lt;="&amp;Paramètres!$C$26)</f>
        <v>6000</v>
      </c>
      <c r="F29" s="16" t="n">
        <f aca="false">SUMIFS(Journal!$I$5:$I$500,Journal!$F$5:$F$500,A29,Journal!$A$5:$A$500,"&lt;="&amp;Paramètres!$C$26)</f>
        <v>0</v>
      </c>
      <c r="G29" s="16" t="n">
        <f aca="false">E29-F29</f>
        <v>6000</v>
      </c>
      <c r="H29" s="16" t="n">
        <f aca="false">MAX(0,G29)</f>
        <v>6000</v>
      </c>
      <c r="I29" s="16" t="n">
        <f aca="false">MAX(0,-G29)</f>
        <v>0</v>
      </c>
      <c r="J29" s="7" t="str">
        <f aca="false">IF(AND('Plan de comptes'!F29="Non",OR(AND('Plan de comptes'!E29="D",G29&lt;0),AND('Plan de comptes'!E29="C",G29&gt;0))),"ALERTE","OK")</f>
        <v>OK</v>
      </c>
    </row>
    <row r="30" customFormat="false" ht="15" hidden="false" customHeight="false" outlineLevel="0" collapsed="false">
      <c r="A30" s="26" t="str">
        <f aca="false">'Plan de comptes'!A30</f>
        <v>L-ORG-PERTES</v>
      </c>
      <c r="B30" s="26" t="str">
        <f aca="false">'Plan de comptes'!B30</f>
        <v>Organisateur — pertes (fraude, écarts de caisse)</v>
      </c>
      <c r="C30" s="26" t="str">
        <f aca="false">'Plan de comptes'!C30</f>
        <v>Droit</v>
      </c>
      <c r="D30" s="26" t="str">
        <f aca="false">'Plan de comptes'!D30</f>
        <v>ORG</v>
      </c>
      <c r="E30" s="16" t="n">
        <f aca="false">SUMIFS(Journal!$H$5:$H$500,Journal!$F$5:$F$500,A30,Journal!$A$5:$A$500,"&lt;="&amp;Paramètres!$C$26)</f>
        <v>3200</v>
      </c>
      <c r="F30" s="16" t="n">
        <f aca="false">SUMIFS(Journal!$I$5:$I$500,Journal!$F$5:$F$500,A30,Journal!$A$5:$A$500,"&lt;="&amp;Paramètres!$C$26)</f>
        <v>0</v>
      </c>
      <c r="G30" s="16" t="n">
        <f aca="false">E30-F30</f>
        <v>3200</v>
      </c>
      <c r="H30" s="16" t="n">
        <f aca="false">MAX(0,G30)</f>
        <v>3200</v>
      </c>
      <c r="I30" s="16" t="n">
        <f aca="false">MAX(0,-G30)</f>
        <v>0</v>
      </c>
      <c r="J30" s="7" t="str">
        <f aca="false">IF(AND('Plan de comptes'!F30="Non",OR(AND('Plan de comptes'!E30="D",G30&lt;0),AND('Plan de comptes'!E30="C",G30&gt;0))),"ALERTE","OK")</f>
        <v>OK</v>
      </c>
    </row>
    <row r="31" customFormat="false" ht="15" hidden="false" customHeight="false" outlineLevel="0" collapsed="false">
      <c r="A31" s="26" t="str">
        <f aca="false">'Plan de comptes'!A31</f>
        <v>L-ORG-VERS</v>
      </c>
      <c r="B31" s="26" t="str">
        <f aca="false">'Plan de comptes'!B31</f>
        <v>Organisateur — versements reçus</v>
      </c>
      <c r="C31" s="26" t="str">
        <f aca="false">'Plan de comptes'!C31</f>
        <v>Droit</v>
      </c>
      <c r="D31" s="26" t="str">
        <f aca="false">'Plan de comptes'!D31</f>
        <v>ORG</v>
      </c>
      <c r="E31" s="16" t="n">
        <f aca="false">SUMIFS(Journal!$H$5:$H$500,Journal!$F$5:$F$500,A31,Journal!$A$5:$A$500,"&lt;="&amp;Paramètres!$C$26)</f>
        <v>39225</v>
      </c>
      <c r="F31" s="16" t="n">
        <f aca="false">SUMIFS(Journal!$I$5:$I$500,Journal!$F$5:$F$500,A31,Journal!$A$5:$A$500,"&lt;="&amp;Paramètres!$C$26)</f>
        <v>0</v>
      </c>
      <c r="G31" s="16" t="n">
        <f aca="false">E31-F31</f>
        <v>39225</v>
      </c>
      <c r="H31" s="16" t="n">
        <f aca="false">MAX(0,G31)</f>
        <v>39225</v>
      </c>
      <c r="I31" s="16" t="n">
        <f aca="false">MAX(0,-G31)</f>
        <v>0</v>
      </c>
      <c r="J31" s="7" t="str">
        <f aca="false">IF(AND('Plan de comptes'!F31="Non",OR(AND('Plan de comptes'!E31="D",G31&lt;0),AND('Plan de comptes'!E31="C",G31&gt;0))),"ALERTE","OK")</f>
        <v>OK</v>
      </c>
    </row>
    <row r="32" customFormat="false" ht="15" hidden="false" customHeight="false" outlineLevel="0" collapsed="false">
      <c r="A32" s="26" t="str">
        <f aca="false">'Plan de comptes'!A32</f>
        <v>L-OPE-FRAIS</v>
      </c>
      <c r="B32" s="26" t="str">
        <f aca="false">'Plan de comptes'!B32</f>
        <v>Prestataire — frais facturés</v>
      </c>
      <c r="C32" s="26" t="str">
        <f aca="false">'Plan de comptes'!C32</f>
        <v>Droit</v>
      </c>
      <c r="D32" s="26" t="str">
        <f aca="false">'Plan de comptes'!D32</f>
        <v>OPE</v>
      </c>
      <c r="E32" s="16" t="n">
        <f aca="false">SUMIFS(Journal!$H$5:$H$500,Journal!$F$5:$F$500,A32,Journal!$A$5:$A$500,"&lt;="&amp;Paramètres!$C$26)</f>
        <v>0</v>
      </c>
      <c r="F32" s="16" t="n">
        <f aca="false">SUMIFS(Journal!$I$5:$I$500,Journal!$F$5:$F$500,A32,Journal!$A$5:$A$500,"&lt;="&amp;Paramètres!$C$26)</f>
        <v>5085</v>
      </c>
      <c r="G32" s="16" t="n">
        <f aca="false">E32-F32</f>
        <v>-5085</v>
      </c>
      <c r="H32" s="16" t="n">
        <f aca="false">MAX(0,G32)</f>
        <v>0</v>
      </c>
      <c r="I32" s="16" t="n">
        <f aca="false">MAX(0,-G32)</f>
        <v>5085</v>
      </c>
      <c r="J32" s="7" t="str">
        <f aca="false">IF(AND('Plan de comptes'!F32="Non",OR(AND('Plan de comptes'!E32="D",G32&lt;0),AND('Plan de comptes'!E32="C",G32&gt;0))),"ALERTE","OK")</f>
        <v>OK</v>
      </c>
    </row>
    <row r="33" customFormat="false" ht="15" hidden="false" customHeight="false" outlineLevel="0" collapsed="false">
      <c r="A33" s="26" t="str">
        <f aca="false">'Plan de comptes'!A33</f>
        <v>L-OPE-TVA</v>
      </c>
      <c r="B33" s="26" t="str">
        <f aca="false">'Plan de comptes'!B33</f>
        <v>Prestataire — taxe collectée</v>
      </c>
      <c r="C33" s="26" t="str">
        <f aca="false">'Plan de comptes'!C33</f>
        <v>Droit</v>
      </c>
      <c r="D33" s="26" t="str">
        <f aca="false">'Plan de comptes'!D33</f>
        <v>OPE</v>
      </c>
      <c r="E33" s="16" t="n">
        <f aca="false">SUMIFS(Journal!$H$5:$H$500,Journal!$F$5:$F$500,A33,Journal!$A$5:$A$500,"&lt;="&amp;Paramètres!$C$26)</f>
        <v>0</v>
      </c>
      <c r="F33" s="16" t="n">
        <f aca="false">SUMIFS(Journal!$I$5:$I$500,Journal!$F$5:$F$500,A33,Journal!$A$5:$A$500,"&lt;="&amp;Paramètres!$C$26)</f>
        <v>915</v>
      </c>
      <c r="G33" s="16" t="n">
        <f aca="false">E33-F33</f>
        <v>-915</v>
      </c>
      <c r="H33" s="16" t="n">
        <f aca="false">MAX(0,G33)</f>
        <v>0</v>
      </c>
      <c r="I33" s="16" t="n">
        <f aca="false">MAX(0,-G33)</f>
        <v>915</v>
      </c>
      <c r="J33" s="7" t="str">
        <f aca="false">IF(AND('Plan de comptes'!F33="Non",OR(AND('Plan de comptes'!E33="D",G33&lt;0),AND('Plan de comptes'!E33="C",G33&gt;0))),"ALERTE","OK")</f>
        <v>OK</v>
      </c>
    </row>
    <row r="34" customFormat="false" ht="15" hidden="false" customHeight="false" outlineLevel="0" collapsed="false">
      <c r="A34" s="26" t="str">
        <f aca="false">'Plan de comptes'!A34</f>
        <v>L-OPE-CASSE</v>
      </c>
      <c r="B34" s="26" t="str">
        <f aca="false">'Plan de comptes'!B34</f>
        <v>Prestataire — part de casse (contrat)</v>
      </c>
      <c r="C34" s="26" t="str">
        <f aca="false">'Plan de comptes'!C34</f>
        <v>Droit</v>
      </c>
      <c r="D34" s="26" t="str">
        <f aca="false">'Plan de comptes'!D34</f>
        <v>OPE</v>
      </c>
      <c r="E34" s="16" t="n">
        <f aca="false">SUMIFS(Journal!$H$5:$H$500,Journal!$F$5:$F$500,A34,Journal!$A$5:$A$500,"&lt;="&amp;Paramètres!$C$26)</f>
        <v>0</v>
      </c>
      <c r="F34" s="16" t="n">
        <f aca="false">SUMIFS(Journal!$I$5:$I$500,Journal!$F$5:$F$500,A34,Journal!$A$5:$A$500,"&lt;="&amp;Paramètres!$C$26)</f>
        <v>4000</v>
      </c>
      <c r="G34" s="16" t="n">
        <f aca="false">E34-F34</f>
        <v>-4000</v>
      </c>
      <c r="H34" s="16" t="n">
        <f aca="false">MAX(0,G34)</f>
        <v>0</v>
      </c>
      <c r="I34" s="16" t="n">
        <f aca="false">MAX(0,-G34)</f>
        <v>4000</v>
      </c>
      <c r="J34" s="7" t="str">
        <f aca="false">IF(AND('Plan de comptes'!F34="Non",OR(AND('Plan de comptes'!E34="D",G34&lt;0),AND('Plan de comptes'!E34="C",G34&gt;0))),"ALERTE","OK")</f>
        <v>OK</v>
      </c>
    </row>
    <row r="35" customFormat="false" ht="15" hidden="false" customHeight="false" outlineLevel="0" collapsed="false">
      <c r="A35" s="26" t="str">
        <f aca="false">'Plan de comptes'!A35</f>
        <v>L-OPE-REDEV</v>
      </c>
      <c r="B35" s="26" t="str">
        <f aca="false">'Plan de comptes'!B35</f>
        <v>Prestataire — redevance due à la plateforme</v>
      </c>
      <c r="C35" s="26" t="str">
        <f aca="false">'Plan de comptes'!C35</f>
        <v>Droit</v>
      </c>
      <c r="D35" s="26" t="str">
        <f aca="false">'Plan de comptes'!D35</f>
        <v>OPE</v>
      </c>
      <c r="E35" s="16" t="n">
        <f aca="false">SUMIFS(Journal!$H$5:$H$500,Journal!$F$5:$F$500,A35,Journal!$A$5:$A$500,"&lt;="&amp;Paramètres!$C$26)</f>
        <v>1017</v>
      </c>
      <c r="F35" s="16" t="n">
        <f aca="false">SUMIFS(Journal!$I$5:$I$500,Journal!$F$5:$F$500,A35,Journal!$A$5:$A$500,"&lt;="&amp;Paramètres!$C$26)</f>
        <v>0</v>
      </c>
      <c r="G35" s="16" t="n">
        <f aca="false">E35-F35</f>
        <v>1017</v>
      </c>
      <c r="H35" s="16" t="n">
        <f aca="false">MAX(0,G35)</f>
        <v>1017</v>
      </c>
      <c r="I35" s="16" t="n">
        <f aca="false">MAX(0,-G35)</f>
        <v>0</v>
      </c>
      <c r="J35" s="7" t="str">
        <f aca="false">IF(AND('Plan de comptes'!F35="Non",OR(AND('Plan de comptes'!E35="D",G35&lt;0),AND('Plan de comptes'!E35="C",G35&gt;0))),"ALERTE","OK")</f>
        <v>OK</v>
      </c>
    </row>
    <row r="36" customFormat="false" ht="15" hidden="false" customHeight="false" outlineLevel="0" collapsed="false">
      <c r="A36" s="26" t="str">
        <f aca="false">'Plan de comptes'!A36</f>
        <v>L-OPE-VERS</v>
      </c>
      <c r="B36" s="26" t="str">
        <f aca="false">'Plan de comptes'!B36</f>
        <v>Prestataire — versements reçus</v>
      </c>
      <c r="C36" s="26" t="str">
        <f aca="false">'Plan de comptes'!C36</f>
        <v>Droit</v>
      </c>
      <c r="D36" s="26" t="str">
        <f aca="false">'Plan de comptes'!D36</f>
        <v>OPE</v>
      </c>
      <c r="E36" s="16" t="n">
        <f aca="false">SUMIFS(Journal!$H$5:$H$500,Journal!$F$5:$F$500,A36,Journal!$A$5:$A$500,"&lt;="&amp;Paramètres!$C$26)</f>
        <v>8983</v>
      </c>
      <c r="F36" s="16" t="n">
        <f aca="false">SUMIFS(Journal!$I$5:$I$500,Journal!$F$5:$F$500,A36,Journal!$A$5:$A$500,"&lt;="&amp;Paramètres!$C$26)</f>
        <v>0</v>
      </c>
      <c r="G36" s="16" t="n">
        <f aca="false">E36-F36</f>
        <v>8983</v>
      </c>
      <c r="H36" s="16" t="n">
        <f aca="false">MAX(0,G36)</f>
        <v>8983</v>
      </c>
      <c r="I36" s="16" t="n">
        <f aca="false">MAX(0,-G36)</f>
        <v>0</v>
      </c>
      <c r="J36" s="7" t="str">
        <f aca="false">IF(AND('Plan de comptes'!F36="Non",OR(AND('Plan de comptes'!E36="D",G36&lt;0),AND('Plan de comptes'!E36="C",G36&gt;0))),"ALERTE","OK")</f>
        <v>OK</v>
      </c>
    </row>
    <row r="37" customFormat="false" ht="15" hidden="false" customHeight="false" outlineLevel="0" collapsed="false">
      <c r="A37" s="26" t="str">
        <f aca="false">'Plan de comptes'!A37</f>
        <v>L-PLT-REDEV</v>
      </c>
      <c r="B37" s="26" t="str">
        <f aca="false">'Plan de comptes'!B37</f>
        <v>Plateforme — redevance</v>
      </c>
      <c r="C37" s="26" t="str">
        <f aca="false">'Plan de comptes'!C37</f>
        <v>Droit</v>
      </c>
      <c r="D37" s="26" t="str">
        <f aca="false">'Plan de comptes'!D37</f>
        <v>PLT</v>
      </c>
      <c r="E37" s="16" t="n">
        <f aca="false">SUMIFS(Journal!$H$5:$H$500,Journal!$F$5:$F$500,A37,Journal!$A$5:$A$500,"&lt;="&amp;Paramètres!$C$26)</f>
        <v>0</v>
      </c>
      <c r="F37" s="16" t="n">
        <f aca="false">SUMIFS(Journal!$I$5:$I$500,Journal!$F$5:$F$500,A37,Journal!$A$5:$A$500,"&lt;="&amp;Paramètres!$C$26)</f>
        <v>862</v>
      </c>
      <c r="G37" s="16" t="n">
        <f aca="false">E37-F37</f>
        <v>-862</v>
      </c>
      <c r="H37" s="16" t="n">
        <f aca="false">MAX(0,G37)</f>
        <v>0</v>
      </c>
      <c r="I37" s="16" t="n">
        <f aca="false">MAX(0,-G37)</f>
        <v>862</v>
      </c>
      <c r="J37" s="7" t="str">
        <f aca="false">IF(AND('Plan de comptes'!F37="Non",OR(AND('Plan de comptes'!E37="D",G37&lt;0),AND('Plan de comptes'!E37="C",G37&gt;0))),"ALERTE","OK")</f>
        <v>OK</v>
      </c>
    </row>
    <row r="38" customFormat="false" ht="15" hidden="false" customHeight="false" outlineLevel="0" collapsed="false">
      <c r="A38" s="26" t="str">
        <f aca="false">'Plan de comptes'!A38</f>
        <v>L-PLT-TVA</v>
      </c>
      <c r="B38" s="26" t="str">
        <f aca="false">'Plan de comptes'!B38</f>
        <v>Plateforme — taxe collectée</v>
      </c>
      <c r="C38" s="26" t="str">
        <f aca="false">'Plan de comptes'!C38</f>
        <v>Droit</v>
      </c>
      <c r="D38" s="26" t="str">
        <f aca="false">'Plan de comptes'!D38</f>
        <v>PLT</v>
      </c>
      <c r="E38" s="16" t="n">
        <f aca="false">SUMIFS(Journal!$H$5:$H$500,Journal!$F$5:$F$500,A38,Journal!$A$5:$A$500,"&lt;="&amp;Paramètres!$C$26)</f>
        <v>0</v>
      </c>
      <c r="F38" s="16" t="n">
        <f aca="false">SUMIFS(Journal!$I$5:$I$500,Journal!$F$5:$F$500,A38,Journal!$A$5:$A$500,"&lt;="&amp;Paramètres!$C$26)</f>
        <v>155</v>
      </c>
      <c r="G38" s="16" t="n">
        <f aca="false">E38-F38</f>
        <v>-155</v>
      </c>
      <c r="H38" s="16" t="n">
        <f aca="false">MAX(0,G38)</f>
        <v>0</v>
      </c>
      <c r="I38" s="16" t="n">
        <f aca="false">MAX(0,-G38)</f>
        <v>155</v>
      </c>
      <c r="J38" s="7" t="str">
        <f aca="false">IF(AND('Plan de comptes'!F38="Non",OR(AND('Plan de comptes'!E38="D",G38&lt;0),AND('Plan de comptes'!E38="C",G38&gt;0))),"ALERTE","OK")</f>
        <v>OK</v>
      </c>
    </row>
    <row r="39" customFormat="false" ht="15" hidden="false" customHeight="false" outlineLevel="0" collapsed="false">
      <c r="A39" s="26" t="str">
        <f aca="false">'Plan de comptes'!A39</f>
        <v>L-PLT-VERS</v>
      </c>
      <c r="B39" s="26" t="str">
        <f aca="false">'Plan de comptes'!B39</f>
        <v>Plateforme — versements reçus</v>
      </c>
      <c r="C39" s="26" t="str">
        <f aca="false">'Plan de comptes'!C39</f>
        <v>Droit</v>
      </c>
      <c r="D39" s="26" t="str">
        <f aca="false">'Plan de comptes'!D39</f>
        <v>PLT</v>
      </c>
      <c r="E39" s="16" t="n">
        <f aca="false">SUMIFS(Journal!$H$5:$H$500,Journal!$F$5:$F$500,A39,Journal!$A$5:$A$500,"&lt;="&amp;Paramètres!$C$26)</f>
        <v>1017</v>
      </c>
      <c r="F39" s="16" t="n">
        <f aca="false">SUMIFS(Journal!$I$5:$I$500,Journal!$F$5:$F$500,A39,Journal!$A$5:$A$500,"&lt;="&amp;Paramètres!$C$26)</f>
        <v>0</v>
      </c>
      <c r="G39" s="16" t="n">
        <f aca="false">E39-F39</f>
        <v>1017</v>
      </c>
      <c r="H39" s="16" t="n">
        <f aca="false">MAX(0,G39)</f>
        <v>1017</v>
      </c>
      <c r="I39" s="16" t="n">
        <f aca="false">MAX(0,-G39)</f>
        <v>0</v>
      </c>
      <c r="J39" s="7" t="str">
        <f aca="false">IF(AND('Plan de comptes'!F39="Non",OR(AND('Plan de comptes'!E39="D",G39&lt;0),AND('Plan de comptes'!E39="C",G39&gt;0))),"ALERTE","OK")</f>
        <v>OK</v>
      </c>
    </row>
    <row r="40" customFormat="false" ht="15" hidden="false" customHeight="false" outlineLevel="0" collapsed="false">
      <c r="A40" s="26" t="str">
        <f aca="false">'Plan de comptes'!A40</f>
        <v>L-VERS-ENCOURS</v>
      </c>
      <c r="B40" s="26" t="str">
        <f aca="false">'Plan de comptes'!B40</f>
        <v>Versements en cours (initiés, non confirmés)</v>
      </c>
      <c r="C40" s="26" t="str">
        <f aca="false">'Plan de comptes'!C40</f>
        <v>Droit</v>
      </c>
      <c r="D40" s="26" t="str">
        <f aca="false">'Plan de comptes'!D40</f>
        <v>—</v>
      </c>
      <c r="E40" s="16" t="n">
        <f aca="false">SUMIFS(Journal!$H$5:$H$500,Journal!$F$5:$F$500,A40,Journal!$A$5:$A$500,"&lt;="&amp;Paramètres!$C$26)</f>
        <v>95125</v>
      </c>
      <c r="F40" s="16" t="n">
        <f aca="false">SUMIFS(Journal!$I$5:$I$500,Journal!$F$5:$F$500,A40,Journal!$A$5:$A$500,"&lt;="&amp;Paramètres!$C$26)</f>
        <v>95125</v>
      </c>
      <c r="G40" s="16" t="n">
        <f aca="false">E40-F40</f>
        <v>0</v>
      </c>
      <c r="H40" s="16" t="n">
        <f aca="false">MAX(0,G40)</f>
        <v>0</v>
      </c>
      <c r="I40" s="16" t="n">
        <f aca="false">MAX(0,-G40)</f>
        <v>-0</v>
      </c>
      <c r="J40" s="7" t="str">
        <f aca="false">IF(AND('Plan de comptes'!F40="Non",OR(AND('Plan de comptes'!E40="D",G40&lt;0),AND('Plan de comptes'!E40="C",G40&gt;0))),"ALERTE","OK")</f>
        <v>OK</v>
      </c>
    </row>
    <row r="41" customFormat="false" ht="15" hidden="false" customHeight="false" outlineLevel="0" collapsed="false">
      <c r="A41" s="26" t="str">
        <f aca="false">'Plan de comptes'!A41</f>
        <v>S-ATTENTE</v>
      </c>
      <c r="B41" s="26" t="str">
        <f aca="false">'Plan de comptes'!B41</f>
        <v>Compte d'attente — anomalies</v>
      </c>
      <c r="C41" s="26" t="str">
        <f aca="false">'Plan de comptes'!C41</f>
        <v>Attente</v>
      </c>
      <c r="D41" s="26" t="str">
        <f aca="false">'Plan de comptes'!D41</f>
        <v>—</v>
      </c>
      <c r="E41" s="16" t="n">
        <f aca="false">SUMIFS(Journal!$H$5:$H$500,Journal!$F$5:$F$500,A41,Journal!$A$5:$A$500,"&lt;="&amp;Paramètres!$C$26)</f>
        <v>3000</v>
      </c>
      <c r="F41" s="16" t="n">
        <f aca="false">SUMIFS(Journal!$I$5:$I$500,Journal!$F$5:$F$500,A41,Journal!$A$5:$A$500,"&lt;="&amp;Paramètres!$C$26)</f>
        <v>3000</v>
      </c>
      <c r="G41" s="16" t="n">
        <f aca="false">E41-F41</f>
        <v>0</v>
      </c>
      <c r="H41" s="16" t="n">
        <f aca="false">MAX(0,G41)</f>
        <v>0</v>
      </c>
      <c r="I41" s="16" t="n">
        <f aca="false">MAX(0,-G41)</f>
        <v>-0</v>
      </c>
      <c r="J41" s="7" t="str">
        <f aca="false">IF(AND('Plan de comptes'!F41="Non",OR(AND('Plan de comptes'!E41="D",G41&lt;0),AND('Plan de comptes'!E41="C",G41&gt;0))),"ALERTE","OK")</f>
        <v>OK</v>
      </c>
    </row>
    <row r="42" customFormat="false" ht="15" hidden="false" customHeight="false" outlineLevel="0" collapsed="false">
      <c r="A42" s="2"/>
      <c r="B42" s="3" t="s">
        <v>522</v>
      </c>
      <c r="C42" s="2"/>
      <c r="D42" s="2"/>
      <c r="E42" s="21" t="n">
        <f aca="false">SUM(E5:E41)</f>
        <v>604667</v>
      </c>
      <c r="F42" s="21" t="n">
        <f aca="false">SUM(F5:F41)</f>
        <v>604667</v>
      </c>
      <c r="G42" s="21" t="n">
        <f aca="false">SUM(G5:G41)</f>
        <v>0</v>
      </c>
      <c r="H42" s="21" t="n">
        <f aca="false">SUM(H5:H41)</f>
        <v>65617</v>
      </c>
      <c r="I42" s="21" t="n">
        <f aca="false">SUM(I5:I41)</f>
        <v>65617</v>
      </c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28" t="s">
        <v>576</v>
      </c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9" t="s">
        <v>577</v>
      </c>
      <c r="B45" s="29"/>
      <c r="C45" s="29"/>
      <c r="D45" s="29"/>
      <c r="E45" s="29" t="s">
        <v>33</v>
      </c>
      <c r="F45" s="29" t="s">
        <v>578</v>
      </c>
      <c r="G45" s="29" t="s">
        <v>579</v>
      </c>
      <c r="H45" s="2"/>
      <c r="I45" s="2"/>
      <c r="J45" s="2"/>
    </row>
    <row r="46" customFormat="false" ht="15" hidden="false" customHeight="false" outlineLevel="0" collapsed="false">
      <c r="A46" s="7" t="s">
        <v>580</v>
      </c>
      <c r="B46" s="2"/>
      <c r="C46" s="2"/>
      <c r="D46" s="2"/>
      <c r="E46" s="16" t="n">
        <f aca="false">E42-F42</f>
        <v>0</v>
      </c>
      <c r="F46" s="7" t="n">
        <v>0</v>
      </c>
      <c r="G46" s="3" t="str">
        <f aca="false">IF(E46=0,"OK","ERREUR")</f>
        <v>OK</v>
      </c>
      <c r="H46" s="2"/>
      <c r="I46" s="2"/>
      <c r="J46" s="2"/>
    </row>
    <row r="47" customFormat="false" ht="15" hidden="false" customHeight="false" outlineLevel="0" collapsed="false">
      <c r="A47" s="7" t="s">
        <v>581</v>
      </c>
      <c r="B47" s="2"/>
      <c r="C47" s="2"/>
      <c r="D47" s="2"/>
      <c r="E47" s="16" t="n">
        <f aca="false">COUNTIF(Journal!K5:K152,"&lt;&gt;0")</f>
        <v>0</v>
      </c>
      <c r="F47" s="7" t="n">
        <v>0</v>
      </c>
      <c r="G47" s="3" t="str">
        <f aca="false">IF(E47=0,"OK","ERREUR")</f>
        <v>OK</v>
      </c>
      <c r="H47" s="2"/>
      <c r="I47" s="2"/>
      <c r="J47" s="2"/>
    </row>
    <row r="48" customFormat="false" ht="15" hidden="false" customHeight="false" outlineLevel="0" collapsed="false">
      <c r="A48" s="7" t="s">
        <v>582</v>
      </c>
      <c r="B48" s="2"/>
      <c r="C48" s="2"/>
      <c r="D48" s="2"/>
      <c r="E48" s="16" t="n">
        <f aca="false">SUMIFS(G5:G41,C5:C41,"Argent")</f>
        <v>0</v>
      </c>
      <c r="F48" s="7" t="s">
        <v>100</v>
      </c>
      <c r="G48" s="7" t="s">
        <v>583</v>
      </c>
      <c r="H48" s="2"/>
      <c r="I48" s="2"/>
      <c r="J48" s="2"/>
    </row>
    <row r="49" customFormat="false" ht="15" hidden="false" customHeight="false" outlineLevel="0" collapsed="false">
      <c r="A49" s="7" t="s">
        <v>584</v>
      </c>
      <c r="B49" s="2"/>
      <c r="C49" s="2"/>
      <c r="D49" s="2"/>
      <c r="E49" s="16" t="n">
        <f aca="false">-SUMIFS(G5:G41,C5:C41,"&lt;&gt;Argent")</f>
        <v>-0</v>
      </c>
      <c r="F49" s="7" t="s">
        <v>100</v>
      </c>
      <c r="G49" s="7" t="s">
        <v>583</v>
      </c>
      <c r="H49" s="2"/>
      <c r="I49" s="2"/>
      <c r="J49" s="2"/>
    </row>
    <row r="50" customFormat="false" ht="15" hidden="false" customHeight="false" outlineLevel="0" collapsed="false">
      <c r="A50" s="7" t="s">
        <v>585</v>
      </c>
      <c r="B50" s="2"/>
      <c r="C50" s="2"/>
      <c r="D50" s="2"/>
      <c r="E50" s="16" t="n">
        <f aca="false">E48-E49</f>
        <v>0</v>
      </c>
      <c r="F50" s="7" t="n">
        <v>0</v>
      </c>
      <c r="G50" s="3" t="str">
        <f aca="false">IF(E50=0,"OK","ERREUR")</f>
        <v>OK</v>
      </c>
      <c r="H50" s="2"/>
      <c r="I50" s="2"/>
      <c r="J50" s="2"/>
    </row>
    <row r="51" customFormat="false" ht="15" hidden="false" customHeight="false" outlineLevel="0" collapsed="false">
      <c r="A51" s="7" t="s">
        <v>586</v>
      </c>
      <c r="B51" s="2"/>
      <c r="C51" s="2"/>
      <c r="D51" s="2"/>
      <c r="E51" s="16" t="n">
        <f aca="false">COUNTIF(J5:J41,"ALERTE")</f>
        <v>0</v>
      </c>
      <c r="F51" s="7" t="n">
        <v>0</v>
      </c>
      <c r="G51" s="3" t="str">
        <f aca="false">IF(E51=0,"OK","ERREUR")</f>
        <v>OK</v>
      </c>
      <c r="H51" s="2"/>
      <c r="I51" s="2"/>
      <c r="J51" s="2"/>
    </row>
    <row r="52" customFormat="false" ht="15" hidden="false" customHeight="false" outlineLevel="0" collapsed="false">
      <c r="A52" s="7" t="s">
        <v>425</v>
      </c>
      <c r="B52" s="2"/>
      <c r="C52" s="2"/>
      <c r="D52" s="2"/>
      <c r="E52" s="16" t="n">
        <f aca="false">SUMIFS(G5:G41,A5:A41,"S-ATTENTE")</f>
        <v>0</v>
      </c>
      <c r="F52" s="7" t="s">
        <v>587</v>
      </c>
      <c r="G52" s="3" t="str">
        <f aca="false">IF(E52=0,"OK","À surveiller")</f>
        <v>OK</v>
      </c>
      <c r="H52" s="2"/>
      <c r="I52" s="2"/>
      <c r="J52" s="2"/>
    </row>
    <row r="53" customFormat="false" ht="15" hidden="false" customHeight="false" outlineLevel="0" collapsed="false">
      <c r="A53" s="7" t="s">
        <v>588</v>
      </c>
      <c r="B53" s="2"/>
      <c r="C53" s="2"/>
      <c r="D53" s="2"/>
      <c r="E53" s="16" t="n">
        <f aca="false">COUNTIF(Journal!G5:G152,"COMPTE INCONNU")</f>
        <v>0</v>
      </c>
      <c r="F53" s="7" t="n">
        <v>0</v>
      </c>
      <c r="G53" s="3" t="str">
        <f aca="false">IF(E53=0,"OK","ERREUR")</f>
        <v>OK</v>
      </c>
      <c r="H53" s="2"/>
      <c r="I53" s="2"/>
      <c r="J53" s="2"/>
    </row>
    <row r="54" customFormat="false" ht="15" hidden="false" customHeight="false" outlineLevel="0" collapsed="false">
      <c r="A54" s="7" t="s">
        <v>589</v>
      </c>
      <c r="B54" s="2"/>
      <c r="C54" s="2"/>
      <c r="D54" s="2"/>
      <c r="E54" s="16" t="n">
        <f aca="false">SUMIFS(G5:G41,C5:C41,"Argent")</f>
        <v>0</v>
      </c>
      <c r="F54" s="7" t="s">
        <v>590</v>
      </c>
      <c r="G54" s="3" t="str">
        <f aca="false">IF(E54=0,"OK","À surveiller")</f>
        <v>OK</v>
      </c>
      <c r="H54" s="2"/>
      <c r="I54" s="2"/>
      <c r="J54" s="2"/>
    </row>
    <row r="55" customFormat="false" ht="15" hidden="false" customHeight="false" outlineLevel="0" collapsed="false">
      <c r="A55" s="7" t="s">
        <v>591</v>
      </c>
      <c r="B55" s="2"/>
      <c r="C55" s="2"/>
      <c r="D55" s="2"/>
      <c r="E55" s="16" t="n">
        <f aca="false">-SUMIFS(G5:G41,A5:A41,"L-WAL-*")</f>
        <v>-0</v>
      </c>
      <c r="F55" s="7" t="s">
        <v>590</v>
      </c>
      <c r="G55" s="3" t="str">
        <f aca="false">IF(E55=0,"OK","À surveiller")</f>
        <v>OK</v>
      </c>
      <c r="H55" s="2"/>
      <c r="I55" s="2"/>
      <c r="J55" s="2"/>
    </row>
    <row r="56" customFormat="false" ht="15" hidden="false" customHeight="false" outlineLevel="0" collapsed="false">
      <c r="A56" s="7" t="s">
        <v>592</v>
      </c>
      <c r="B56" s="2"/>
      <c r="C56" s="2"/>
      <c r="D56" s="2"/>
      <c r="E56" s="16" t="n">
        <f aca="false">-SUMIFS(G5:G41,A5:A41,"L-VERS-ENCOURS")</f>
        <v>-0</v>
      </c>
      <c r="F56" s="7" t="s">
        <v>593</v>
      </c>
      <c r="G56" s="3" t="str">
        <f aca="false">IF(E56=0,"OK","À surveiller")</f>
        <v>OK</v>
      </c>
      <c r="H56" s="2"/>
      <c r="I56" s="2"/>
      <c r="J56" s="2"/>
    </row>
    <row r="57" customFormat="false" ht="15" hidden="false" customHeight="false" outlineLevel="0" collapsed="false">
      <c r="A57" s="7" t="s">
        <v>594</v>
      </c>
      <c r="B57" s="2"/>
      <c r="C57" s="2"/>
      <c r="D57" s="2"/>
      <c r="E57" s="16" t="n">
        <f aca="false">SUMPRODUCT((Journal!M5:M152&lt;&gt;"")*(COUNTIFS(Journal!M5:M152,Journal!M5:M152,Journal!A5:A152,"&lt;&gt;"&amp;Journal!A5:A152)&gt;0))</f>
        <v>0</v>
      </c>
      <c r="F57" s="7" t="n">
        <v>0</v>
      </c>
      <c r="G57" s="3" t="str">
        <f aca="false">IF(E57=0,"OK","ERREUR")</f>
        <v>OK</v>
      </c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8" t="s">
        <v>595</v>
      </c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9" t="s">
        <v>596</v>
      </c>
      <c r="B60" s="29"/>
      <c r="C60" s="29"/>
      <c r="D60" s="29" t="s">
        <v>163</v>
      </c>
      <c r="E60" s="29" t="s">
        <v>597</v>
      </c>
      <c r="F60" s="2"/>
      <c r="G60" s="2"/>
      <c r="H60" s="2"/>
      <c r="I60" s="2"/>
      <c r="J60" s="2"/>
    </row>
    <row r="61" customFormat="false" ht="15" hidden="false" customHeight="false" outlineLevel="0" collapsed="false">
      <c r="A61" s="7" t="s">
        <v>598</v>
      </c>
      <c r="B61" s="2"/>
      <c r="C61" s="2"/>
      <c r="D61" s="5" t="s">
        <v>599</v>
      </c>
      <c r="E61" s="16" t="n">
        <f aca="false">-SUMIFS($G$5:$G$41,$D$5:$D$41,D61,$C$5:$C$41,"&lt;&gt;Argent")</f>
        <v>-0</v>
      </c>
      <c r="F61" s="2"/>
      <c r="G61" s="2"/>
      <c r="H61" s="2"/>
      <c r="I61" s="2"/>
      <c r="J61" s="2"/>
    </row>
    <row r="62" customFormat="false" ht="15" hidden="false" customHeight="false" outlineLevel="0" collapsed="false">
      <c r="A62" s="7" t="s">
        <v>119</v>
      </c>
      <c r="B62" s="2"/>
      <c r="C62" s="2"/>
      <c r="D62" s="5" t="s">
        <v>118</v>
      </c>
      <c r="E62" s="16" t="n">
        <f aca="false">-SUMIFS($G$5:$G$41,$D$5:$D$41,D62,$C$5:$C$41,"&lt;&gt;Argent")</f>
        <v>-0</v>
      </c>
      <c r="F62" s="2"/>
      <c r="G62" s="2"/>
      <c r="H62" s="2"/>
      <c r="I62" s="2"/>
      <c r="J62" s="2"/>
    </row>
    <row r="63" customFormat="false" ht="15" hidden="false" customHeight="false" outlineLevel="0" collapsed="false">
      <c r="A63" s="7" t="s">
        <v>600</v>
      </c>
      <c r="B63" s="2"/>
      <c r="C63" s="2"/>
      <c r="D63" s="5" t="s">
        <v>122</v>
      </c>
      <c r="E63" s="16" t="n">
        <f aca="false">-SUMIFS($G$5:$G$41,$D$5:$D$41,D63,$C$5:$C$41,"&lt;&gt;Argent")</f>
        <v>-0</v>
      </c>
      <c r="F63" s="2"/>
      <c r="G63" s="2"/>
      <c r="H63" s="2"/>
      <c r="I63" s="2"/>
      <c r="J63" s="2"/>
    </row>
    <row r="64" customFormat="false" ht="15" hidden="false" customHeight="false" outlineLevel="0" collapsed="false">
      <c r="A64" s="7" t="s">
        <v>601</v>
      </c>
      <c r="B64" s="2"/>
      <c r="C64" s="2"/>
      <c r="D64" s="5" t="s">
        <v>113</v>
      </c>
      <c r="E64" s="16" t="n">
        <f aca="false">-SUMIFS($G$5:$G$41,$D$5:$D$41,D64,$C$5:$C$41,"&lt;&gt;Argent")</f>
        <v>-0</v>
      </c>
      <c r="F64" s="2"/>
      <c r="G64" s="2"/>
      <c r="H64" s="2"/>
      <c r="I64" s="2"/>
      <c r="J64" s="2"/>
    </row>
    <row r="65" customFormat="false" ht="15" hidden="false" customHeight="false" outlineLevel="0" collapsed="false">
      <c r="A65" s="7" t="s">
        <v>602</v>
      </c>
      <c r="B65" s="2"/>
      <c r="C65" s="2"/>
      <c r="D65" s="5" t="s">
        <v>106</v>
      </c>
      <c r="E65" s="16" t="n">
        <f aca="false">-SUMIFS($G$5:$G$41,$D$5:$D$41,D65,$C$5:$C$41,"&lt;&gt;Argent")</f>
        <v>-0</v>
      </c>
      <c r="F65" s="2"/>
      <c r="G65" s="2"/>
      <c r="H65" s="2"/>
      <c r="I65" s="2"/>
      <c r="J65" s="2"/>
    </row>
    <row r="66" customFormat="false" ht="15" hidden="false" customHeight="false" outlineLevel="0" collapsed="false">
      <c r="A66" s="7" t="s">
        <v>603</v>
      </c>
      <c r="B66" s="2"/>
      <c r="C66" s="2"/>
      <c r="D66" s="5" t="s">
        <v>102</v>
      </c>
      <c r="E66" s="16" t="n">
        <f aca="false">-SUMIFS($G$5:$G$41,$D$5:$D$41,D66,$C$5:$C$41,"&lt;&gt;Argent")</f>
        <v>-0</v>
      </c>
      <c r="F66" s="2"/>
      <c r="G66" s="2"/>
      <c r="H66" s="2"/>
      <c r="I66" s="2"/>
      <c r="J66" s="2"/>
    </row>
    <row r="67" customFormat="false" ht="15" hidden="false" customHeight="false" outlineLevel="0" collapsed="false">
      <c r="A67" s="7" t="s">
        <v>604</v>
      </c>
      <c r="B67" s="2"/>
      <c r="C67" s="2"/>
      <c r="D67" s="5" t="s">
        <v>97</v>
      </c>
      <c r="E67" s="16" t="n">
        <f aca="false">-SUMIFS($G$5:$G$41,$D$5:$D$41,D67,$C$5:$C$41,"&lt;&gt;Argent")</f>
        <v>-0</v>
      </c>
      <c r="F67" s="2"/>
      <c r="G67" s="2"/>
      <c r="H67" s="2"/>
      <c r="I67" s="2"/>
      <c r="J67" s="2"/>
    </row>
    <row r="68" customFormat="false" ht="15" hidden="false" customHeight="false" outlineLevel="0" collapsed="false">
      <c r="A68" s="7" t="s">
        <v>605</v>
      </c>
      <c r="B68" s="2"/>
      <c r="C68" s="2"/>
      <c r="D68" s="5" t="s">
        <v>100</v>
      </c>
      <c r="E68" s="16" t="n">
        <f aca="false">-SUMIFS($G$5:$G$41,$D$5:$D$41,D68,$C$5:$C$41,"&lt;&gt;Argent")</f>
        <v>-0</v>
      </c>
      <c r="F68" s="2"/>
      <c r="G68" s="2"/>
      <c r="H68" s="2"/>
      <c r="I68" s="2"/>
      <c r="J68" s="2"/>
    </row>
    <row r="69" customFormat="false" ht="15" hidden="false" customHeight="false" outlineLevel="0" collapsed="false">
      <c r="A69" s="3" t="s">
        <v>606</v>
      </c>
      <c r="B69" s="2"/>
      <c r="C69" s="2"/>
      <c r="D69" s="2"/>
      <c r="E69" s="21" t="n">
        <f aca="false">SUM(E61:E68)</f>
        <v>0</v>
      </c>
      <c r="F69" s="3" t="str">
        <f aca="false">IF(E69=SUMIFS($G$5:$G$41,$C$5:$C$41,"Argent"),"OK","ERREUR")</f>
        <v>OK</v>
      </c>
      <c r="G69" s="2"/>
      <c r="H69" s="2"/>
      <c r="I69" s="2"/>
      <c r="J69" s="2"/>
    </row>
  </sheetData>
  <conditionalFormatting sqref="J5:J41">
    <cfRule type="cellIs" priority="2" operator="equal" aboveAverage="0" equalAverage="0" bottom="0" percent="0" rank="0" text="" dxfId="4">
      <formula>"ALERTE"</formula>
    </cfRule>
  </conditionalFormatting>
  <conditionalFormatting sqref="G46:G58">
    <cfRule type="cellIs" priority="3" operator="equal" aboveAverage="0" equalAverage="0" bottom="0" percent="0" rank="0" text="" dxfId="4">
      <formula>"ERREUR"</formula>
    </cfRule>
    <cfRule type="cellIs" priority="4" operator="equal" aboveAverage="0" equalAverage="0" bottom="0" percent="0" rank="0" text="" dxfId="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607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">
        <v>608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8" t="s">
        <v>609</v>
      </c>
      <c r="B4" s="2"/>
      <c r="C4" s="2"/>
      <c r="D4" s="2"/>
      <c r="E4" s="2"/>
      <c r="F4" s="2"/>
      <c r="G4" s="2"/>
    </row>
    <row r="5" customFormat="false" ht="23.85" hidden="false" customHeight="false" outlineLevel="0" collapsed="false">
      <c r="A5" s="6" t="s">
        <v>610</v>
      </c>
      <c r="B5" s="6" t="s">
        <v>611</v>
      </c>
      <c r="C5" s="6" t="s">
        <v>612</v>
      </c>
      <c r="D5" s="6" t="s">
        <v>613</v>
      </c>
      <c r="E5" s="2"/>
      <c r="F5" s="2"/>
      <c r="G5" s="2"/>
    </row>
    <row r="6" customFormat="false" ht="15" hidden="false" customHeight="false" outlineLevel="0" collapsed="false">
      <c r="A6" s="5" t="s">
        <v>308</v>
      </c>
      <c r="B6" s="5" t="s">
        <v>209</v>
      </c>
      <c r="C6" s="5" t="s">
        <v>212</v>
      </c>
      <c r="D6" s="5" t="s">
        <v>204</v>
      </c>
      <c r="E6" s="2"/>
      <c r="F6" s="2"/>
      <c r="G6" s="2"/>
    </row>
    <row r="7" customFormat="false" ht="15" hidden="false" customHeight="false" outlineLevel="0" collapsed="false">
      <c r="A7" s="7" t="s">
        <v>614</v>
      </c>
      <c r="B7" s="16" t="n">
        <f aca="false">SUMIFS(Journal!$I$5:$I$500,Journal!$F$5:$F$500,B$6,Journal!$A$5:$A$500,"&lt;="&amp;Paramètres!$C$26,Journal!$D$5:$D$500,"Vente")</f>
        <v>30000</v>
      </c>
      <c r="C7" s="16" t="n">
        <f aca="false">SUMIFS(Journal!$I$5:$I$500,Journal!$F$5:$F$500,C$6,Journal!$A$5:$A$500,"&lt;="&amp;Paramètres!$C$26,Journal!$D$5:$D$500,"Vente")</f>
        <v>20000</v>
      </c>
      <c r="D7" s="16" t="n">
        <f aca="false">SUMIFS(Journal!$I$5:$I$500,Journal!$F$5:$F$500,D$6,Journal!$A$5:$A$500,"&lt;="&amp;Paramètres!$C$26,Journal!$D$5:$D$500,"Vente")</f>
        <v>24500</v>
      </c>
      <c r="E7" s="2"/>
      <c r="F7" s="2"/>
      <c r="G7" s="2"/>
    </row>
    <row r="8" customFormat="false" ht="15" hidden="false" customHeight="false" outlineLevel="0" collapsed="false">
      <c r="A8" s="7" t="s">
        <v>615</v>
      </c>
      <c r="B8" s="16" t="n">
        <f aca="false">-SUMIFS(Journal!$H$5:$H$500,Journal!$F$5:$F$500,B$6,Journal!$A$5:$A$500,"&lt;="&amp;Paramètres!$C$26,Journal!$D$5:$D$500,"Annulation")</f>
        <v>-0</v>
      </c>
      <c r="C8" s="16" t="n">
        <f aca="false">-SUMIFS(Journal!$H$5:$H$500,Journal!$F$5:$F$500,C$6,Journal!$A$5:$A$500,"&lt;="&amp;Paramètres!$C$26,Journal!$D$5:$D$500,"Annulation")</f>
        <v>-0</v>
      </c>
      <c r="D8" s="16" t="n">
        <f aca="false">-SUMIFS(Journal!$H$5:$H$500,Journal!$F$5:$F$500,D$6,Journal!$A$5:$A$500,"&lt;="&amp;Paramètres!$C$26,Journal!$D$5:$D$500,"Annulation")</f>
        <v>-6000</v>
      </c>
      <c r="E8" s="2"/>
      <c r="F8" s="2"/>
      <c r="G8" s="2"/>
    </row>
    <row r="9" customFormat="false" ht="15" hidden="false" customHeight="false" outlineLevel="0" collapsed="false">
      <c r="A9" s="7" t="s">
        <v>616</v>
      </c>
      <c r="B9" s="16" t="n">
        <f aca="false">-SUMIFS(Journal!$H$5:$H$500,Journal!$F$5:$F$500,B$6,Journal!$A$5:$A$500,"&lt;="&amp;Paramètres!$C$26,Journal!$D$5:$D$500,"Commission")</f>
        <v>-3600</v>
      </c>
      <c r="C9" s="16" t="n">
        <f aca="false">-SUMIFS(Journal!$H$5:$H$500,Journal!$F$5:$F$500,C$6,Journal!$A$5:$A$500,"&lt;="&amp;Paramètres!$C$26,Journal!$D$5:$D$500,"Commission")</f>
        <v>-2000</v>
      </c>
      <c r="D9" s="16" t="n">
        <f aca="false">-SUMIFS(Journal!$H$5:$H$500,Journal!$F$5:$F$500,D$6,Journal!$A$5:$A$500,"&lt;="&amp;Paramètres!$C$26,Journal!$D$5:$D$500,"Commission")</f>
        <v>-0</v>
      </c>
      <c r="E9" s="2"/>
      <c r="F9" s="2"/>
      <c r="G9" s="2"/>
    </row>
    <row r="10" customFormat="false" ht="15" hidden="false" customHeight="false" outlineLevel="0" collapsed="false">
      <c r="A10" s="7" t="s">
        <v>441</v>
      </c>
      <c r="B10" s="16" t="n">
        <f aca="false">-SUMIFS(Journal!$H$5:$H$500,Journal!$F$5:$F$500,B$6,Journal!$A$5:$A$500,"&lt;="&amp;Paramètres!$C$26,Journal!$D$5:$D$500,"Droit de place")</f>
        <v>-15000</v>
      </c>
      <c r="C10" s="16" t="n">
        <f aca="false">-SUMIFS(Journal!$H$5:$H$500,Journal!$F$5:$F$500,C$6,Journal!$A$5:$A$500,"&lt;="&amp;Paramètres!$C$26,Journal!$D$5:$D$500,"Droit de place")</f>
        <v>-10000</v>
      </c>
      <c r="D10" s="16" t="n">
        <f aca="false">-SUMIFS(Journal!$H$5:$H$500,Journal!$F$5:$F$500,D$6,Journal!$A$5:$A$500,"&lt;="&amp;Paramètres!$C$26,Journal!$D$5:$D$500,"Droit de place")</f>
        <v>-0</v>
      </c>
      <c r="E10" s="2"/>
      <c r="F10" s="2"/>
      <c r="G10" s="2"/>
    </row>
    <row r="11" customFormat="false" ht="15" hidden="false" customHeight="false" outlineLevel="0" collapsed="false">
      <c r="A11" s="7" t="s">
        <v>459</v>
      </c>
      <c r="B11" s="16" t="n">
        <f aca="false">-SUMIFS(Journal!$H$5:$H$500,Journal!$F$5:$F$500,B$6,Journal!$A$5:$A$500,"&lt;="&amp;Paramètres!$C$26,Journal!$D$5:$D$500,"Versement")</f>
        <v>-11400</v>
      </c>
      <c r="C11" s="16" t="n">
        <f aca="false">-SUMIFS(Journal!$H$5:$H$500,Journal!$F$5:$F$500,C$6,Journal!$A$5:$A$500,"&lt;="&amp;Paramètres!$C$26,Journal!$D$5:$D$500,"Versement")</f>
        <v>-16000</v>
      </c>
      <c r="D11" s="16" t="n">
        <f aca="false">-SUMIFS(Journal!$H$5:$H$500,Journal!$F$5:$F$500,D$6,Journal!$A$5:$A$500,"&lt;="&amp;Paramètres!$C$26,Journal!$D$5:$D$500,"Versement")</f>
        <v>-18500</v>
      </c>
      <c r="E11" s="2"/>
      <c r="F11" s="2"/>
      <c r="G11" s="2"/>
    </row>
    <row r="12" customFormat="false" ht="15" hidden="false" customHeight="false" outlineLevel="0" collapsed="false">
      <c r="A12" s="7" t="s">
        <v>617</v>
      </c>
      <c r="B12" s="16" t="n">
        <f aca="false">SUMIFS(Journal!$I$5:$I$500,Journal!$F$5:$F$500,B$6,Journal!$A$5:$A$500,"&lt;="&amp;Paramètres!$C$26,Journal!$D$5:$D$500,"Versement échoué")</f>
        <v>0</v>
      </c>
      <c r="C12" s="16" t="n">
        <f aca="false">SUMIFS(Journal!$I$5:$I$500,Journal!$F$5:$F$500,C$6,Journal!$A$5:$A$500,"&lt;="&amp;Paramètres!$C$26,Journal!$D$5:$D$500,"Versement échoué")</f>
        <v>8000</v>
      </c>
      <c r="D12" s="16" t="n">
        <f aca="false">SUMIFS(Journal!$I$5:$I$500,Journal!$F$5:$F$500,D$6,Journal!$A$5:$A$500,"&lt;="&amp;Paramètres!$C$26,Journal!$D$5:$D$500,"Versement échoué")</f>
        <v>0</v>
      </c>
      <c r="E12" s="2"/>
      <c r="F12" s="2"/>
      <c r="G12" s="2"/>
    </row>
    <row r="13" customFormat="false" ht="15" hidden="false" customHeight="false" outlineLevel="0" collapsed="false">
      <c r="A13" s="3" t="s">
        <v>618</v>
      </c>
      <c r="B13" s="21" t="n">
        <f aca="false">SUM(B7:B12)</f>
        <v>0</v>
      </c>
      <c r="C13" s="21" t="n">
        <f aca="false">SUM(C7:C12)</f>
        <v>0</v>
      </c>
      <c r="D13" s="21" t="n">
        <f aca="false">SUM(D7:D12)</f>
        <v>0</v>
      </c>
      <c r="E13" s="2"/>
      <c r="F13" s="2"/>
      <c r="G13" s="2"/>
    </row>
    <row r="14" customFormat="false" ht="15" hidden="false" customHeight="false" outlineLevel="0" collapsed="false">
      <c r="A14" s="5" t="s">
        <v>619</v>
      </c>
      <c r="B14" s="5" t="str">
        <f aca="false">IF(B13=-SUMIFS(Balance!$G$5:$G$41,Balance!$A$5:$A$41,B$6),"OK","ÉCART")</f>
        <v>OK</v>
      </c>
      <c r="C14" s="5" t="str">
        <f aca="false">IF(C13=-SUMIFS(Balance!$G$5:$G$41,Balance!$A$5:$A$41,C$6),"OK","ÉCART")</f>
        <v>OK</v>
      </c>
      <c r="D14" s="5" t="str">
        <f aca="false">IF(D13=-SUMIFS(Balance!$G$5:$G$41,Balance!$A$5:$A$41,D$6),"OK","ÉCART")</f>
        <v>OK</v>
      </c>
      <c r="E14" s="2"/>
      <c r="F14" s="2"/>
      <c r="G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8" t="s">
        <v>620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6" t="s">
        <v>610</v>
      </c>
      <c r="B17" s="6" t="s">
        <v>621</v>
      </c>
      <c r="C17" s="6" t="s">
        <v>622</v>
      </c>
      <c r="D17" s="6" t="s">
        <v>623</v>
      </c>
      <c r="E17" s="6" t="s">
        <v>624</v>
      </c>
      <c r="F17" s="6" t="s">
        <v>625</v>
      </c>
      <c r="G17" s="6" t="s">
        <v>626</v>
      </c>
    </row>
    <row r="18" customFormat="false" ht="15" hidden="false" customHeight="false" outlineLevel="0" collapsed="false">
      <c r="A18" s="5" t="s">
        <v>308</v>
      </c>
      <c r="B18" s="5" t="s">
        <v>137</v>
      </c>
      <c r="C18" s="5" t="s">
        <v>141</v>
      </c>
      <c r="D18" s="5" t="s">
        <v>145</v>
      </c>
      <c r="E18" s="5" t="s">
        <v>149</v>
      </c>
      <c r="F18" s="5" t="s">
        <v>153</v>
      </c>
      <c r="G18" s="5" t="s">
        <v>157</v>
      </c>
    </row>
    <row r="19" customFormat="false" ht="15" hidden="false" customHeight="false" outlineLevel="0" collapsed="false">
      <c r="A19" s="7" t="s">
        <v>627</v>
      </c>
      <c r="B19" s="16" t="n">
        <f aca="false">SUMIFS(Journal!$I$5:$I$500,Journal!$F$5:$F$500,B$18,Journal!$A$5:$A$500,"&lt;="&amp;Paramètres!$C$26,Journal!$D$5:$D$500,"Recharge")</f>
        <v>20000</v>
      </c>
      <c r="C19" s="16" t="n">
        <f aca="false">SUMIFS(Journal!$I$5:$I$500,Journal!$F$5:$F$500,C$18,Journal!$A$5:$A$500,"&lt;="&amp;Paramètres!$C$26,Journal!$D$5:$D$500,"Recharge")</f>
        <v>15000</v>
      </c>
      <c r="D19" s="16" t="n">
        <f aca="false">SUMIFS(Journal!$I$5:$I$500,Journal!$F$5:$F$500,D$18,Journal!$A$5:$A$500,"&lt;="&amp;Paramètres!$C$26,Journal!$D$5:$D$500,"Recharge")</f>
        <v>30000</v>
      </c>
      <c r="E19" s="16" t="n">
        <f aca="false">SUMIFS(Journal!$I$5:$I$500,Journal!$F$5:$F$500,E$18,Journal!$A$5:$A$500,"&lt;="&amp;Paramètres!$C$26,Journal!$D$5:$D$500,"Recharge")</f>
        <v>10000</v>
      </c>
      <c r="F19" s="16" t="n">
        <f aca="false">SUMIFS(Journal!$I$5:$I$500,Journal!$F$5:$F$500,F$18,Journal!$A$5:$A$500,"&lt;="&amp;Paramètres!$C$26,Journal!$D$5:$D$500,"Recharge")</f>
        <v>25000</v>
      </c>
      <c r="G19" s="16" t="n">
        <f aca="false">SUMIFS(Journal!$I$5:$I$500,Journal!$F$5:$F$500,G$18,Journal!$A$5:$A$500,"&lt;="&amp;Paramètres!$C$26,Journal!$D$5:$D$500,"Recharge")</f>
        <v>0</v>
      </c>
    </row>
    <row r="20" customFormat="false" ht="15" hidden="false" customHeight="false" outlineLevel="0" collapsed="false">
      <c r="A20" s="7" t="s">
        <v>344</v>
      </c>
      <c r="B20" s="16" t="n">
        <f aca="false">SUMIFS(Journal!$I$5:$I$500,Journal!$F$5:$F$500,B$18,Journal!$A$5:$A$500,"&lt;="&amp;Paramètres!$C$26,Journal!$D$5:$D$500,"Crédit offert")</f>
        <v>0</v>
      </c>
      <c r="C20" s="16" t="n">
        <f aca="false">SUMIFS(Journal!$I$5:$I$500,Journal!$F$5:$F$500,C$18,Journal!$A$5:$A$500,"&lt;="&amp;Paramètres!$C$26,Journal!$D$5:$D$500,"Crédit offert")</f>
        <v>0</v>
      </c>
      <c r="D20" s="16" t="n">
        <f aca="false">SUMIFS(Journal!$I$5:$I$500,Journal!$F$5:$F$500,D$18,Journal!$A$5:$A$500,"&lt;="&amp;Paramètres!$C$26,Journal!$D$5:$D$500,"Crédit offert")</f>
        <v>0</v>
      </c>
      <c r="E20" s="16" t="n">
        <f aca="false">SUMIFS(Journal!$I$5:$I$500,Journal!$F$5:$F$500,E$18,Journal!$A$5:$A$500,"&lt;="&amp;Paramètres!$C$26,Journal!$D$5:$D$500,"Crédit offert")</f>
        <v>0</v>
      </c>
      <c r="F20" s="16" t="n">
        <f aca="false">SUMIFS(Journal!$I$5:$I$500,Journal!$F$5:$F$500,F$18,Journal!$A$5:$A$500,"&lt;="&amp;Paramètres!$C$26,Journal!$D$5:$D$500,"Crédit offert")</f>
        <v>0</v>
      </c>
      <c r="G20" s="16" t="n">
        <f aca="false">SUMIFS(Journal!$I$5:$I$500,Journal!$F$5:$F$500,G$18,Journal!$A$5:$A$500,"&lt;="&amp;Paramètres!$C$26,Journal!$D$5:$D$500,"Crédit offert")</f>
        <v>6000</v>
      </c>
    </row>
    <row r="21" customFormat="false" ht="15" hidden="false" customHeight="false" outlineLevel="0" collapsed="false">
      <c r="A21" s="7" t="s">
        <v>628</v>
      </c>
      <c r="B21" s="16" t="n">
        <f aca="false">SUMIFS(Journal!$I$5:$I$500,Journal!$F$5:$F$500,B$18,Journal!$A$5:$A$500,"&lt;="&amp;Paramètres!$C$26,Journal!$D$5:$D$500,"Annulation")</f>
        <v>0</v>
      </c>
      <c r="C21" s="16" t="n">
        <f aca="false">SUMIFS(Journal!$I$5:$I$500,Journal!$F$5:$F$500,C$18,Journal!$A$5:$A$500,"&lt;="&amp;Paramètres!$C$26,Journal!$D$5:$D$500,"Annulation")</f>
        <v>0</v>
      </c>
      <c r="D21" s="16" t="n">
        <f aca="false">SUMIFS(Journal!$I$5:$I$500,Journal!$F$5:$F$500,D$18,Journal!$A$5:$A$500,"&lt;="&amp;Paramètres!$C$26,Journal!$D$5:$D$500,"Annulation")</f>
        <v>0</v>
      </c>
      <c r="E21" s="16" t="n">
        <f aca="false">SUMIFS(Journal!$I$5:$I$500,Journal!$F$5:$F$500,E$18,Journal!$A$5:$A$500,"&lt;="&amp;Paramètres!$C$26,Journal!$D$5:$D$500,"Annulation")</f>
        <v>6000</v>
      </c>
      <c r="F21" s="16" t="n">
        <f aca="false">SUMIFS(Journal!$I$5:$I$500,Journal!$F$5:$F$500,F$18,Journal!$A$5:$A$500,"&lt;="&amp;Paramètres!$C$26,Journal!$D$5:$D$500,"Annulation")</f>
        <v>0</v>
      </c>
      <c r="G21" s="16" t="n">
        <f aca="false">SUMIFS(Journal!$I$5:$I$500,Journal!$F$5:$F$500,G$18,Journal!$A$5:$A$500,"&lt;="&amp;Paramètres!$C$26,Journal!$D$5:$D$500,"Annulation")</f>
        <v>0</v>
      </c>
    </row>
    <row r="22" customFormat="false" ht="15" hidden="false" customHeight="false" outlineLevel="0" collapsed="false">
      <c r="A22" s="7" t="s">
        <v>629</v>
      </c>
      <c r="B22" s="16" t="n">
        <f aca="false">-SUMIFS(Journal!$H$5:$H$500,Journal!$F$5:$F$500,B$18,Journal!$A$5:$A$500,"&lt;="&amp;Paramètres!$C$26,Journal!$D$5:$D$500,"Frais festivalier")</f>
        <v>-1000</v>
      </c>
      <c r="C22" s="16" t="n">
        <f aca="false">-SUMIFS(Journal!$H$5:$H$500,Journal!$F$5:$F$500,C$18,Journal!$A$5:$A$500,"&lt;="&amp;Paramètres!$C$26,Journal!$D$5:$D$500,"Frais festivalier")</f>
        <v>-1500</v>
      </c>
      <c r="D22" s="16" t="n">
        <f aca="false">-SUMIFS(Journal!$H$5:$H$500,Journal!$F$5:$F$500,D$18,Journal!$A$5:$A$500,"&lt;="&amp;Paramètres!$C$26,Journal!$D$5:$D$500,"Frais festivalier")</f>
        <v>-1500</v>
      </c>
      <c r="E22" s="16" t="n">
        <f aca="false">-SUMIFS(Journal!$H$5:$H$500,Journal!$F$5:$F$500,E$18,Journal!$A$5:$A$500,"&lt;="&amp;Paramètres!$C$26,Journal!$D$5:$D$500,"Frais festivalier")</f>
        <v>-1000</v>
      </c>
      <c r="F22" s="16" t="n">
        <f aca="false">-SUMIFS(Journal!$H$5:$H$500,Journal!$F$5:$F$500,F$18,Journal!$A$5:$A$500,"&lt;="&amp;Paramètres!$C$26,Journal!$D$5:$D$500,"Frais festivalier")</f>
        <v>-1000</v>
      </c>
      <c r="G22" s="16" t="n">
        <f aca="false">-SUMIFS(Journal!$H$5:$H$500,Journal!$F$5:$F$500,G$18,Journal!$A$5:$A$500,"&lt;="&amp;Paramètres!$C$26,Journal!$D$5:$D$500,"Frais festivalier")</f>
        <v>-0</v>
      </c>
    </row>
    <row r="23" customFormat="false" ht="15" hidden="false" customHeight="false" outlineLevel="0" collapsed="false">
      <c r="A23" s="7" t="s">
        <v>630</v>
      </c>
      <c r="B23" s="16" t="n">
        <f aca="false">-SUMIFS(Journal!$H$5:$H$500,Journal!$F$5:$F$500,B$18,Journal!$A$5:$A$500,"&lt;="&amp;Paramètres!$C$26,Journal!$D$5:$D$500,"Vente")</f>
        <v>-10000</v>
      </c>
      <c r="C23" s="16" t="n">
        <f aca="false">-SUMIFS(Journal!$H$5:$H$500,Journal!$F$5:$F$500,C$18,Journal!$A$5:$A$500,"&lt;="&amp;Paramètres!$C$26,Journal!$D$5:$D$500,"Vente")</f>
        <v>-12000</v>
      </c>
      <c r="D23" s="16" t="n">
        <f aca="false">-SUMIFS(Journal!$H$5:$H$500,Journal!$F$5:$F$500,D$18,Journal!$A$5:$A$500,"&lt;="&amp;Paramètres!$C$26,Journal!$D$5:$D$500,"Vente")</f>
        <v>-16500</v>
      </c>
      <c r="E23" s="16" t="n">
        <f aca="false">-SUMIFS(Journal!$H$5:$H$500,Journal!$F$5:$F$500,E$18,Journal!$A$5:$A$500,"&lt;="&amp;Paramètres!$C$26,Journal!$D$5:$D$500,"Vente")</f>
        <v>-15000</v>
      </c>
      <c r="F23" s="16" t="n">
        <f aca="false">-SUMIFS(Journal!$H$5:$H$500,Journal!$F$5:$F$500,F$18,Journal!$A$5:$A$500,"&lt;="&amp;Paramètres!$C$26,Journal!$D$5:$D$500,"Vente")</f>
        <v>-13000</v>
      </c>
      <c r="G23" s="16" t="n">
        <f aca="false">-SUMIFS(Journal!$H$5:$H$500,Journal!$F$5:$F$500,G$18,Journal!$A$5:$A$500,"&lt;="&amp;Paramètres!$C$26,Journal!$D$5:$D$500,"Vente")</f>
        <v>-5000</v>
      </c>
    </row>
    <row r="24" customFormat="false" ht="15" hidden="false" customHeight="false" outlineLevel="0" collapsed="false">
      <c r="A24" s="7" t="s">
        <v>631</v>
      </c>
      <c r="B24" s="16" t="n">
        <f aca="false">-SUMIFS(Journal!$H$5:$H$500,Journal!$F$5:$F$500,B$18,Journal!$A$5:$A$500,"&lt;="&amp;Paramètres!$C$26,Journal!$D$5:$D$500,"Caution")</f>
        <v>-0</v>
      </c>
      <c r="C24" s="16" t="n">
        <f aca="false">-SUMIFS(Journal!$H$5:$H$500,Journal!$F$5:$F$500,C$18,Journal!$A$5:$A$500,"&lt;="&amp;Paramètres!$C$26,Journal!$D$5:$D$500,"Caution")</f>
        <v>-0</v>
      </c>
      <c r="D24" s="16" t="n">
        <f aca="false">-SUMIFS(Journal!$H$5:$H$500,Journal!$F$5:$F$500,D$18,Journal!$A$5:$A$500,"&lt;="&amp;Paramètres!$C$26,Journal!$D$5:$D$500,"Caution")</f>
        <v>-0</v>
      </c>
      <c r="E24" s="16" t="n">
        <f aca="false">-SUMIFS(Journal!$H$5:$H$500,Journal!$F$5:$F$500,E$18,Journal!$A$5:$A$500,"&lt;="&amp;Paramètres!$C$26,Journal!$D$5:$D$500,"Caution")</f>
        <v>-0</v>
      </c>
      <c r="F24" s="16" t="n">
        <f aca="false">-SUMIFS(Journal!$H$5:$H$500,Journal!$F$5:$F$500,F$18,Journal!$A$5:$A$500,"&lt;="&amp;Paramètres!$C$26,Journal!$D$5:$D$500,"Caution")</f>
        <v>-2000</v>
      </c>
      <c r="G24" s="16" t="n">
        <f aca="false">-SUMIFS(Journal!$H$5:$H$500,Journal!$F$5:$F$500,G$18,Journal!$A$5:$A$500,"&lt;="&amp;Paramètres!$C$26,Journal!$D$5:$D$500,"Caution")</f>
        <v>-0</v>
      </c>
    </row>
    <row r="25" customFormat="false" ht="15" hidden="false" customHeight="false" outlineLevel="0" collapsed="false">
      <c r="A25" s="7" t="s">
        <v>632</v>
      </c>
      <c r="B25" s="16" t="n">
        <f aca="false">SUMIFS(Journal!$I$5:$I$500,Journal!$F$5:$F$500,B$18,Journal!$A$5:$A$500,"&lt;="&amp;Paramètres!$C$26,Journal!$D$5:$D$500,"Caution")</f>
        <v>0</v>
      </c>
      <c r="C25" s="16" t="n">
        <f aca="false">SUMIFS(Journal!$I$5:$I$500,Journal!$F$5:$F$500,C$18,Journal!$A$5:$A$500,"&lt;="&amp;Paramètres!$C$26,Journal!$D$5:$D$500,"Caution")</f>
        <v>0</v>
      </c>
      <c r="D25" s="16" t="n">
        <f aca="false">SUMIFS(Journal!$I$5:$I$500,Journal!$F$5:$F$500,D$18,Journal!$A$5:$A$500,"&lt;="&amp;Paramètres!$C$26,Journal!$D$5:$D$500,"Caution")</f>
        <v>0</v>
      </c>
      <c r="E25" s="16" t="n">
        <f aca="false">SUMIFS(Journal!$I$5:$I$500,Journal!$F$5:$F$500,E$18,Journal!$A$5:$A$500,"&lt;="&amp;Paramètres!$C$26,Journal!$D$5:$D$500,"Caution")</f>
        <v>0</v>
      </c>
      <c r="F25" s="16" t="n">
        <f aca="false">SUMIFS(Journal!$I$5:$I$500,Journal!$F$5:$F$500,F$18,Journal!$A$5:$A$500,"&lt;="&amp;Paramètres!$C$26,Journal!$D$5:$D$500,"Caution")</f>
        <v>2000</v>
      </c>
      <c r="G25" s="16" t="n">
        <f aca="false">SUMIFS(Journal!$I$5:$I$500,Journal!$F$5:$F$500,G$18,Journal!$A$5:$A$500,"&lt;="&amp;Paramètres!$C$26,Journal!$D$5:$D$500,"Caution")</f>
        <v>0</v>
      </c>
    </row>
    <row r="26" customFormat="false" ht="15" hidden="false" customHeight="false" outlineLevel="0" collapsed="false">
      <c r="A26" s="7" t="s">
        <v>633</v>
      </c>
      <c r="B26" s="16" t="n">
        <f aca="false">-SUMIFS(Journal!$H$5:$H$500,Journal!$F$5:$F$500,B$18,Journal!$A$5:$A$500,"&lt;="&amp;Paramètres!$C$26,Journal!$D$5:$D$500,"Remboursement")</f>
        <v>-0</v>
      </c>
      <c r="C26" s="16" t="n">
        <f aca="false">-SUMIFS(Journal!$H$5:$H$500,Journal!$F$5:$F$500,C$18,Journal!$A$5:$A$500,"&lt;="&amp;Paramètres!$C$26,Journal!$D$5:$D$500,"Remboursement")</f>
        <v>-1500</v>
      </c>
      <c r="D26" s="16" t="n">
        <f aca="false">-SUMIFS(Journal!$H$5:$H$500,Journal!$F$5:$F$500,D$18,Journal!$A$5:$A$500,"&lt;="&amp;Paramètres!$C$26,Journal!$D$5:$D$500,"Remboursement")</f>
        <v>-12000</v>
      </c>
      <c r="E26" s="16" t="n">
        <f aca="false">-SUMIFS(Journal!$H$5:$H$500,Journal!$F$5:$F$500,E$18,Journal!$A$5:$A$500,"&lt;="&amp;Paramètres!$C$26,Journal!$D$5:$D$500,"Remboursement")</f>
        <v>-0</v>
      </c>
      <c r="F26" s="16" t="n">
        <f aca="false">-SUMIFS(Journal!$H$5:$H$500,Journal!$F$5:$F$500,F$18,Journal!$A$5:$A$500,"&lt;="&amp;Paramètres!$C$26,Journal!$D$5:$D$500,"Remboursement")</f>
        <v>-0</v>
      </c>
      <c r="G26" s="16" t="n">
        <f aca="false">-SUMIFS(Journal!$H$5:$H$500,Journal!$F$5:$F$500,G$18,Journal!$A$5:$A$500,"&lt;="&amp;Paramètres!$C$26,Journal!$D$5:$D$500,"Remboursement")</f>
        <v>-0</v>
      </c>
    </row>
    <row r="27" customFormat="false" ht="15" hidden="false" customHeight="false" outlineLevel="0" collapsed="false">
      <c r="A27" s="7" t="s">
        <v>500</v>
      </c>
      <c r="B27" s="16" t="n">
        <f aca="false">-SUMIFS(Journal!$H$5:$H$500,Journal!$F$5:$F$500,B$18,Journal!$A$5:$A$500,"&lt;="&amp;Paramètres!$C$26,Journal!$D$5:$D$500,"Casse")</f>
        <v>-9000</v>
      </c>
      <c r="C27" s="16" t="n">
        <f aca="false">-SUMIFS(Journal!$H$5:$H$500,Journal!$F$5:$F$500,C$18,Journal!$A$5:$A$500,"&lt;="&amp;Paramètres!$C$26,Journal!$D$5:$D$500,"Casse")</f>
        <v>-0</v>
      </c>
      <c r="D27" s="16" t="n">
        <f aca="false">-SUMIFS(Journal!$H$5:$H$500,Journal!$F$5:$F$500,D$18,Journal!$A$5:$A$500,"&lt;="&amp;Paramètres!$C$26,Journal!$D$5:$D$500,"Casse")</f>
        <v>-0</v>
      </c>
      <c r="E27" s="16" t="n">
        <f aca="false">-SUMIFS(Journal!$H$5:$H$500,Journal!$F$5:$F$500,E$18,Journal!$A$5:$A$500,"&lt;="&amp;Paramètres!$C$26,Journal!$D$5:$D$500,"Casse")</f>
        <v>-0</v>
      </c>
      <c r="F27" s="16" t="n">
        <f aca="false">-SUMIFS(Journal!$H$5:$H$500,Journal!$F$5:$F$500,F$18,Journal!$A$5:$A$500,"&lt;="&amp;Paramètres!$C$26,Journal!$D$5:$D$500,"Casse")</f>
        <v>-11000</v>
      </c>
      <c r="G27" s="16" t="n">
        <f aca="false">-SUMIFS(Journal!$H$5:$H$500,Journal!$F$5:$F$500,G$18,Journal!$A$5:$A$500,"&lt;="&amp;Paramètres!$C$26,Journal!$D$5:$D$500,"Casse")</f>
        <v>-0</v>
      </c>
    </row>
    <row r="28" customFormat="false" ht="15" hidden="false" customHeight="false" outlineLevel="0" collapsed="false">
      <c r="A28" s="7" t="s">
        <v>634</v>
      </c>
      <c r="B28" s="16" t="n">
        <f aca="false">-SUMIFS(Journal!$H$5:$H$500,Journal!$F$5:$F$500,B$18,Journal!$A$5:$A$500,"&lt;="&amp;Paramètres!$C$26,Journal!$D$5:$D$500,"Crédit offert")</f>
        <v>-0</v>
      </c>
      <c r="C28" s="16" t="n">
        <f aca="false">-SUMIFS(Journal!$H$5:$H$500,Journal!$F$5:$F$500,C$18,Journal!$A$5:$A$500,"&lt;="&amp;Paramètres!$C$26,Journal!$D$5:$D$500,"Crédit offert")</f>
        <v>-0</v>
      </c>
      <c r="D28" s="16" t="n">
        <f aca="false">-SUMIFS(Journal!$H$5:$H$500,Journal!$F$5:$F$500,D$18,Journal!$A$5:$A$500,"&lt;="&amp;Paramètres!$C$26,Journal!$D$5:$D$500,"Crédit offert")</f>
        <v>-0</v>
      </c>
      <c r="E28" s="16" t="n">
        <f aca="false">-SUMIFS(Journal!$H$5:$H$500,Journal!$F$5:$F$500,E$18,Journal!$A$5:$A$500,"&lt;="&amp;Paramètres!$C$26,Journal!$D$5:$D$500,"Crédit offert")</f>
        <v>-0</v>
      </c>
      <c r="F28" s="16" t="n">
        <f aca="false">-SUMIFS(Journal!$H$5:$H$500,Journal!$F$5:$F$500,F$18,Journal!$A$5:$A$500,"&lt;="&amp;Paramètres!$C$26,Journal!$D$5:$D$500,"Crédit offert")</f>
        <v>-0</v>
      </c>
      <c r="G28" s="16" t="n">
        <f aca="false">-SUMIFS(Journal!$H$5:$H$500,Journal!$F$5:$F$500,G$18,Journal!$A$5:$A$500,"&lt;="&amp;Paramètres!$C$26,Journal!$D$5:$D$500,"Crédit offert")</f>
        <v>-1000</v>
      </c>
    </row>
    <row r="29" customFormat="false" ht="15" hidden="false" customHeight="false" outlineLevel="0" collapsed="false">
      <c r="A29" s="3" t="s">
        <v>635</v>
      </c>
      <c r="B29" s="21" t="n">
        <f aca="false">SUM(B19:B28)</f>
        <v>0</v>
      </c>
      <c r="C29" s="21" t="n">
        <f aca="false">SUM(C19:C28)</f>
        <v>0</v>
      </c>
      <c r="D29" s="21" t="n">
        <f aca="false">SUM(D19:D28)</f>
        <v>0</v>
      </c>
      <c r="E29" s="21" t="n">
        <f aca="false">SUM(E19:E28)</f>
        <v>0</v>
      </c>
      <c r="F29" s="21" t="n">
        <f aca="false">SUM(F19:F28)</f>
        <v>0</v>
      </c>
      <c r="G29" s="21" t="n">
        <f aca="false">SUM(G19:G28)</f>
        <v>0</v>
      </c>
    </row>
    <row r="30" customFormat="false" ht="15" hidden="false" customHeight="false" outlineLevel="0" collapsed="false">
      <c r="A30" s="5" t="s">
        <v>619</v>
      </c>
      <c r="B30" s="5" t="str">
        <f aca="false">IF(B29=-SUMIFS(Balance!$G$5:$G$41,Balance!$A$5:$A$41,B$18),"OK","ÉCART")</f>
        <v>OK</v>
      </c>
      <c r="C30" s="5" t="str">
        <f aca="false">IF(C29=-SUMIFS(Balance!$G$5:$G$41,Balance!$A$5:$A$41,C$18),"OK","ÉCART")</f>
        <v>OK</v>
      </c>
      <c r="D30" s="5" t="str">
        <f aca="false">IF(D29=-SUMIFS(Balance!$G$5:$G$41,Balance!$A$5:$A$41,D$18),"OK","ÉCART")</f>
        <v>OK</v>
      </c>
      <c r="E30" s="5" t="str">
        <f aca="false">IF(E29=-SUMIFS(Balance!$G$5:$G$41,Balance!$A$5:$A$41,E$18),"OK","ÉCART")</f>
        <v>OK</v>
      </c>
      <c r="F30" s="5" t="str">
        <f aca="false">IF(F29=-SUMIFS(Balance!$G$5:$G$41,Balance!$A$5:$A$41,F$18),"OK","ÉCART")</f>
        <v>OK</v>
      </c>
      <c r="G30" s="5" t="str">
        <f aca="false">IF(G29=-SUMIFS(Balance!$G$5:$G$41,Balance!$A$5:$A$41,G$18),"OK","ÉCART")</f>
        <v>OK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8" t="s">
        <v>636</v>
      </c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6" t="s">
        <v>610</v>
      </c>
      <c r="B33" s="6" t="s">
        <v>637</v>
      </c>
      <c r="C33" s="6" t="s">
        <v>313</v>
      </c>
      <c r="D33" s="2"/>
      <c r="E33" s="2"/>
      <c r="F33" s="2"/>
      <c r="G33" s="2"/>
    </row>
    <row r="34" customFormat="false" ht="15" hidden="false" customHeight="false" outlineLevel="0" collapsed="false">
      <c r="A34" s="30" t="s">
        <v>107</v>
      </c>
      <c r="B34" s="31"/>
      <c r="C34" s="31"/>
      <c r="D34" s="2"/>
      <c r="E34" s="2"/>
      <c r="F34" s="2"/>
      <c r="G34" s="2"/>
    </row>
    <row r="35" customFormat="false" ht="15" hidden="false" customHeight="false" outlineLevel="0" collapsed="false">
      <c r="A35" s="7" t="s">
        <v>638</v>
      </c>
      <c r="B35" s="16" t="n">
        <f aca="false">SUMIFS(Journal!$I$5:$I$500,Journal!$F$5:$F$500,"L-MCH-BAR",Journal!$A$5:$A$500,"&lt;="&amp;Paramètres!$C$26,Journal!$D$5:$D$500,"Vente")-SUMIFS(Journal!$H$5:$H$500,Journal!$F$5:$F$500,"L-MCH-BAR",Journal!$A$5:$A$500,"&lt;="&amp;Paramètres!$C$26,Journal!$D$5:$D$500,"Annulation")</f>
        <v>18500</v>
      </c>
      <c r="C35" s="5" t="s">
        <v>204</v>
      </c>
      <c r="D35" s="2"/>
      <c r="E35" s="2"/>
      <c r="F35" s="2"/>
      <c r="G35" s="2"/>
    </row>
    <row r="36" customFormat="false" ht="15" hidden="false" customHeight="false" outlineLevel="0" collapsed="false">
      <c r="A36" s="7" t="s">
        <v>616</v>
      </c>
      <c r="B36" s="16" t="n">
        <f aca="false">-SUMIFS(Balance!$G$5:$G$41,Balance!$A$5:$A$41,"L-ORG-COM")</f>
        <v>4745</v>
      </c>
      <c r="C36" s="5" t="s">
        <v>214</v>
      </c>
      <c r="D36" s="2"/>
      <c r="E36" s="2"/>
      <c r="F36" s="2"/>
      <c r="G36" s="2"/>
    </row>
    <row r="37" customFormat="false" ht="15" hidden="false" customHeight="false" outlineLevel="0" collapsed="false">
      <c r="A37" s="7" t="s">
        <v>440</v>
      </c>
      <c r="B37" s="16" t="n">
        <f aca="false">-SUMIFS(Balance!$G$5:$G$41,Balance!$A$5:$A$41,"L-ORG-PLACE")</f>
        <v>21186</v>
      </c>
      <c r="C37" s="5" t="s">
        <v>218</v>
      </c>
      <c r="D37" s="2"/>
      <c r="E37" s="2"/>
      <c r="F37" s="2"/>
      <c r="G37" s="2"/>
    </row>
    <row r="38" customFormat="false" ht="15" hidden="false" customHeight="false" outlineLevel="0" collapsed="false">
      <c r="A38" s="7" t="s">
        <v>639</v>
      </c>
      <c r="B38" s="16" t="n">
        <f aca="false">-SUMIFS(Balance!$G$5:$G$41,Balance!$A$5:$A$41,"L-ORG-FFEST")</f>
        <v>5085</v>
      </c>
      <c r="C38" s="5" t="s">
        <v>221</v>
      </c>
      <c r="D38" s="2"/>
      <c r="E38" s="2"/>
      <c r="F38" s="2"/>
      <c r="G38" s="2"/>
    </row>
    <row r="39" customFormat="false" ht="15" hidden="false" customHeight="false" outlineLevel="0" collapsed="false">
      <c r="A39" s="7" t="s">
        <v>640</v>
      </c>
      <c r="B39" s="16" t="n">
        <f aca="false">-SUMIFS(Balance!$G$5:$G$41,Balance!$A$5:$A$41,"L-ORG-TVA")</f>
        <v>5584</v>
      </c>
      <c r="C39" s="5" t="s">
        <v>224</v>
      </c>
      <c r="D39" s="2"/>
      <c r="E39" s="2"/>
      <c r="F39" s="2"/>
      <c r="G39" s="2"/>
    </row>
    <row r="40" customFormat="false" ht="15" hidden="false" customHeight="false" outlineLevel="0" collapsed="false">
      <c r="A40" s="7" t="s">
        <v>641</v>
      </c>
      <c r="B40" s="16" t="n">
        <f aca="false">-SUMIFS(Balance!$G$5:$G$41,Balance!$A$5:$A$41,"L-ORG-CASSE")</f>
        <v>16000</v>
      </c>
      <c r="C40" s="5" t="s">
        <v>228</v>
      </c>
      <c r="D40" s="2"/>
      <c r="E40" s="2"/>
      <c r="F40" s="2"/>
      <c r="G40" s="2"/>
    </row>
    <row r="41" customFormat="false" ht="15" hidden="false" customHeight="false" outlineLevel="0" collapsed="false">
      <c r="A41" s="7" t="s">
        <v>642</v>
      </c>
      <c r="B41" s="16" t="n">
        <f aca="false">-SUMIFS(Balance!$G$5:$G$41,Balance!$A$5:$A$41,"L-ORG-CAUTION")</f>
        <v>-0</v>
      </c>
      <c r="C41" s="5" t="s">
        <v>232</v>
      </c>
      <c r="D41" s="2"/>
      <c r="E41" s="2"/>
      <c r="F41" s="2"/>
      <c r="G41" s="2"/>
    </row>
    <row r="42" customFormat="false" ht="15" hidden="false" customHeight="false" outlineLevel="0" collapsed="false">
      <c r="A42" s="7" t="s">
        <v>643</v>
      </c>
      <c r="B42" s="16" t="n">
        <f aca="false">-SUMIFS(Balance!$G$5:$G$41,Balance!$A$5:$A$41,"L-ORG-CAUTION-ACQ")</f>
        <v>2000</v>
      </c>
      <c r="C42" s="5" t="s">
        <v>236</v>
      </c>
      <c r="D42" s="2"/>
      <c r="E42" s="2"/>
      <c r="F42" s="2"/>
      <c r="G42" s="2"/>
    </row>
    <row r="43" customFormat="false" ht="15" hidden="false" customHeight="false" outlineLevel="0" collapsed="false">
      <c r="A43" s="7" t="s">
        <v>644</v>
      </c>
      <c r="B43" s="16" t="n">
        <f aca="false">-SUMIFS(Balance!$G$5:$G$41,Balance!$A$5:$A$41,"L-ORG-PROMO")</f>
        <v>-5000</v>
      </c>
      <c r="C43" s="5" t="s">
        <v>240</v>
      </c>
      <c r="D43" s="2"/>
      <c r="E43" s="2"/>
      <c r="F43" s="2"/>
      <c r="G43" s="2"/>
    </row>
    <row r="44" customFormat="false" ht="15" hidden="false" customHeight="false" outlineLevel="0" collapsed="false">
      <c r="A44" s="7" t="s">
        <v>320</v>
      </c>
      <c r="B44" s="16" t="n">
        <f aca="false">-SUMIFS(Balance!$G$5:$G$41,Balance!$A$5:$A$41,"L-ORG-FPSP")</f>
        <v>-1175</v>
      </c>
      <c r="C44" s="5" t="s">
        <v>244</v>
      </c>
      <c r="D44" s="2"/>
      <c r="E44" s="2"/>
      <c r="F44" s="2"/>
      <c r="G44" s="2"/>
    </row>
    <row r="45" customFormat="false" ht="15" hidden="false" customHeight="false" outlineLevel="0" collapsed="false">
      <c r="A45" s="7" t="s">
        <v>645</v>
      </c>
      <c r="B45" s="16" t="n">
        <f aca="false">-SUMIFS(Balance!$G$5:$G$41,Balance!$A$5:$A$41,"L-ORG-FPREST")</f>
        <v>-6000</v>
      </c>
      <c r="C45" s="5" t="s">
        <v>248</v>
      </c>
      <c r="D45" s="2"/>
      <c r="E45" s="2"/>
      <c r="F45" s="2"/>
      <c r="G45" s="2"/>
    </row>
    <row r="46" customFormat="false" ht="15" hidden="false" customHeight="false" outlineLevel="0" collapsed="false">
      <c r="A46" s="7" t="s">
        <v>646</v>
      </c>
      <c r="B46" s="16" t="n">
        <f aca="false">-SUMIFS(Balance!$G$5:$G$41,Balance!$A$5:$A$41,"L-ORG-PERTES")</f>
        <v>-3200</v>
      </c>
      <c r="C46" s="5" t="s">
        <v>252</v>
      </c>
      <c r="D46" s="2"/>
      <c r="E46" s="2"/>
      <c r="F46" s="2"/>
      <c r="G46" s="2"/>
    </row>
    <row r="47" customFormat="false" ht="15" hidden="false" customHeight="false" outlineLevel="0" collapsed="false">
      <c r="A47" s="3" t="s">
        <v>647</v>
      </c>
      <c r="B47" s="21" t="n">
        <f aca="false">SUM(B35:B46)</f>
        <v>57725</v>
      </c>
      <c r="C47" s="2"/>
      <c r="D47" s="2"/>
      <c r="E47" s="2"/>
      <c r="F47" s="2"/>
      <c r="G47" s="2"/>
    </row>
    <row r="48" customFormat="false" ht="15" hidden="false" customHeight="false" outlineLevel="0" collapsed="false">
      <c r="A48" s="7" t="s">
        <v>459</v>
      </c>
      <c r="B48" s="16" t="n">
        <f aca="false">SUMIFS(Balance!$G$5:$G$41,Balance!$A$5:$A$41,"L-ORG-VERS")+SUMIFS(Journal!$H$5:$H$500,Journal!$F$5:$F$500,"L-MCH-BAR",Journal!$A$5:$A$500,"&lt;="&amp;Paramètres!$C$26,Journal!$D$5:$D$500,"Versement")</f>
        <v>57725</v>
      </c>
      <c r="C48" s="2"/>
      <c r="D48" s="2"/>
      <c r="E48" s="2"/>
      <c r="F48" s="2"/>
      <c r="G48" s="2"/>
    </row>
    <row r="49" customFormat="false" ht="15" hidden="false" customHeight="false" outlineLevel="0" collapsed="false">
      <c r="A49" s="3" t="s">
        <v>648</v>
      </c>
      <c r="B49" s="21" t="n">
        <f aca="false">B47-B48</f>
        <v>0</v>
      </c>
      <c r="C49" s="2"/>
      <c r="D49" s="2"/>
      <c r="E49" s="2"/>
      <c r="F49" s="2"/>
      <c r="G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30" t="s">
        <v>103</v>
      </c>
      <c r="B51" s="31"/>
      <c r="C51" s="31"/>
      <c r="D51" s="2"/>
      <c r="E51" s="2"/>
      <c r="F51" s="2"/>
      <c r="G51" s="2"/>
    </row>
    <row r="52" customFormat="false" ht="15" hidden="false" customHeight="false" outlineLevel="0" collapsed="false">
      <c r="A52" s="7" t="s">
        <v>649</v>
      </c>
      <c r="B52" s="16" t="n">
        <f aca="false">-SUMIFS(Balance!$G$5:$G$41,Balance!$A$5:$A$41,"L-OPE-FRAIS")</f>
        <v>5085</v>
      </c>
      <c r="C52" s="5" t="s">
        <v>260</v>
      </c>
      <c r="D52" s="2"/>
      <c r="E52" s="2"/>
      <c r="F52" s="2"/>
      <c r="G52" s="2"/>
    </row>
    <row r="53" customFormat="false" ht="15" hidden="false" customHeight="false" outlineLevel="0" collapsed="false">
      <c r="A53" s="7" t="s">
        <v>650</v>
      </c>
      <c r="B53" s="16" t="n">
        <f aca="false">-SUMIFS(Balance!$G$5:$G$41,Balance!$A$5:$A$41,"L-OPE-TVA")</f>
        <v>915</v>
      </c>
      <c r="C53" s="5" t="s">
        <v>264</v>
      </c>
      <c r="D53" s="2"/>
      <c r="E53" s="2"/>
      <c r="F53" s="2"/>
      <c r="G53" s="2"/>
    </row>
    <row r="54" customFormat="false" ht="15" hidden="false" customHeight="false" outlineLevel="0" collapsed="false">
      <c r="A54" s="7" t="s">
        <v>453</v>
      </c>
      <c r="B54" s="16" t="n">
        <f aca="false">-SUMIFS(Balance!$G$5:$G$41,Balance!$A$5:$A$41,"L-OPE-REDEV")</f>
        <v>-1017</v>
      </c>
      <c r="C54" s="5" t="s">
        <v>272</v>
      </c>
      <c r="D54" s="2"/>
      <c r="E54" s="2"/>
      <c r="F54" s="2"/>
      <c r="G54" s="2"/>
    </row>
    <row r="55" customFormat="false" ht="15" hidden="false" customHeight="false" outlineLevel="0" collapsed="false">
      <c r="A55" s="7" t="s">
        <v>651</v>
      </c>
      <c r="B55" s="16" t="n">
        <f aca="false">-SUMIFS(Balance!$G$5:$G$41,Balance!$A$5:$A$41,"L-OPE-CASSE")</f>
        <v>4000</v>
      </c>
      <c r="C55" s="5" t="s">
        <v>268</v>
      </c>
      <c r="D55" s="2"/>
      <c r="E55" s="2"/>
      <c r="F55" s="2"/>
      <c r="G55" s="2"/>
    </row>
    <row r="56" customFormat="false" ht="15" hidden="false" customHeight="false" outlineLevel="0" collapsed="false">
      <c r="A56" s="3" t="s">
        <v>652</v>
      </c>
      <c r="B56" s="21" t="n">
        <f aca="false">SUM(B52:B55)</f>
        <v>8983</v>
      </c>
      <c r="C56" s="2"/>
      <c r="D56" s="2"/>
      <c r="E56" s="2"/>
      <c r="F56" s="2"/>
      <c r="G56" s="2"/>
    </row>
    <row r="57" customFormat="false" ht="15" hidden="false" customHeight="false" outlineLevel="0" collapsed="false">
      <c r="A57" s="7" t="s">
        <v>459</v>
      </c>
      <c r="B57" s="16" t="n">
        <f aca="false">SUMIFS(Balance!$G$5:$G$41,Balance!$A$5:$A$41,"L-OPE-VERS")</f>
        <v>8983</v>
      </c>
      <c r="C57" s="2"/>
      <c r="D57" s="2"/>
      <c r="E57" s="2"/>
      <c r="F57" s="2"/>
      <c r="G57" s="2"/>
    </row>
    <row r="58" customFormat="false" ht="15" hidden="false" customHeight="false" outlineLevel="0" collapsed="false">
      <c r="A58" s="3" t="s">
        <v>648</v>
      </c>
      <c r="B58" s="21" t="n">
        <f aca="false">B56-B57</f>
        <v>0</v>
      </c>
      <c r="C58" s="2"/>
      <c r="D58" s="2"/>
      <c r="E58" s="2"/>
      <c r="F58" s="2"/>
      <c r="G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5" hidden="false" customHeight="false" outlineLevel="0" collapsed="false">
      <c r="A60" s="30" t="s">
        <v>98</v>
      </c>
      <c r="B60" s="31"/>
      <c r="C60" s="31"/>
      <c r="D60" s="2"/>
      <c r="E60" s="2"/>
      <c r="F60" s="2"/>
      <c r="G60" s="2"/>
    </row>
    <row r="61" customFormat="false" ht="15" hidden="false" customHeight="false" outlineLevel="0" collapsed="false">
      <c r="A61" s="7" t="s">
        <v>653</v>
      </c>
      <c r="B61" s="16" t="n">
        <f aca="false">-SUMIFS(Balance!$G$5:$G$41,Balance!$A$5:$A$41,"L-PLT-REDEV")</f>
        <v>862</v>
      </c>
      <c r="C61" s="5" t="s">
        <v>280</v>
      </c>
      <c r="D61" s="2"/>
      <c r="E61" s="2"/>
      <c r="F61" s="2"/>
      <c r="G61" s="2"/>
    </row>
    <row r="62" customFormat="false" ht="15" hidden="false" customHeight="false" outlineLevel="0" collapsed="false">
      <c r="A62" s="7" t="s">
        <v>650</v>
      </c>
      <c r="B62" s="16" t="n">
        <f aca="false">-SUMIFS(Balance!$G$5:$G$41,Balance!$A$5:$A$41,"L-PLT-TVA")</f>
        <v>155</v>
      </c>
      <c r="C62" s="5" t="s">
        <v>284</v>
      </c>
      <c r="D62" s="2"/>
      <c r="E62" s="2"/>
      <c r="F62" s="2"/>
      <c r="G62" s="2"/>
    </row>
    <row r="63" customFormat="false" ht="15" hidden="false" customHeight="false" outlineLevel="0" collapsed="false">
      <c r="A63" s="3" t="s">
        <v>654</v>
      </c>
      <c r="B63" s="21" t="n">
        <f aca="false">SUM(B61:B62)</f>
        <v>1017</v>
      </c>
      <c r="C63" s="2"/>
      <c r="D63" s="2"/>
      <c r="E63" s="2"/>
      <c r="F63" s="2"/>
      <c r="G63" s="2"/>
    </row>
    <row r="64" customFormat="false" ht="15" hidden="false" customHeight="false" outlineLevel="0" collapsed="false">
      <c r="A64" s="7" t="s">
        <v>459</v>
      </c>
      <c r="B64" s="16" t="n">
        <f aca="false">SUMIFS(Balance!$G$5:$G$41,Balance!$A$5:$A$41,"L-PLT-VERS")</f>
        <v>1017</v>
      </c>
      <c r="C64" s="2"/>
      <c r="D64" s="2"/>
      <c r="E64" s="2"/>
      <c r="F64" s="2"/>
      <c r="G64" s="2"/>
    </row>
    <row r="65" customFormat="false" ht="15" hidden="false" customHeight="false" outlineLevel="0" collapsed="false">
      <c r="A65" s="3" t="s">
        <v>648</v>
      </c>
      <c r="B65" s="21" t="n">
        <f aca="false">B63-B64</f>
        <v>0</v>
      </c>
      <c r="C65" s="2"/>
      <c r="D65" s="2"/>
      <c r="E65" s="2"/>
      <c r="F65" s="2"/>
      <c r="G6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655</v>
      </c>
      <c r="B1" s="2"/>
      <c r="C1" s="2"/>
      <c r="D1" s="2"/>
    </row>
    <row r="2" customFormat="false" ht="15" hidden="false" customHeight="false" outlineLevel="0" collapsed="false">
      <c r="A2" s="5" t="s">
        <v>656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 t="s">
        <v>657</v>
      </c>
      <c r="B4" s="6" t="s">
        <v>658</v>
      </c>
      <c r="C4" s="6" t="s">
        <v>659</v>
      </c>
      <c r="D4" s="6" t="s">
        <v>660</v>
      </c>
    </row>
    <row r="5" customFormat="false" ht="15" hidden="false" customHeight="false" outlineLevel="0" collapsed="false">
      <c r="A5" s="4" t="s">
        <v>661</v>
      </c>
      <c r="B5" s="4" t="s">
        <v>662</v>
      </c>
      <c r="C5" s="4" t="s">
        <v>663</v>
      </c>
      <c r="D5" s="4" t="s">
        <v>664</v>
      </c>
    </row>
    <row r="6" customFormat="false" ht="15" hidden="false" customHeight="false" outlineLevel="0" collapsed="false">
      <c r="A6" s="4" t="s">
        <v>331</v>
      </c>
      <c r="B6" s="4" t="s">
        <v>182</v>
      </c>
      <c r="C6" s="4" t="s">
        <v>197</v>
      </c>
      <c r="D6" s="4"/>
    </row>
    <row r="7" customFormat="false" ht="15" hidden="false" customHeight="false" outlineLevel="0" collapsed="false">
      <c r="A7" s="4" t="s">
        <v>665</v>
      </c>
      <c r="B7" s="4" t="s">
        <v>197</v>
      </c>
      <c r="C7" s="4" t="s">
        <v>666</v>
      </c>
      <c r="D7" s="4" t="s">
        <v>667</v>
      </c>
    </row>
    <row r="8" customFormat="false" ht="15" hidden="false" customHeight="false" outlineLevel="0" collapsed="false">
      <c r="A8" s="4" t="s">
        <v>668</v>
      </c>
      <c r="B8" s="4" t="s">
        <v>197</v>
      </c>
      <c r="C8" s="4" t="s">
        <v>669</v>
      </c>
      <c r="D8" s="4" t="s">
        <v>670</v>
      </c>
    </row>
    <row r="9" customFormat="false" ht="15" hidden="false" customHeight="false" outlineLevel="0" collapsed="false">
      <c r="A9" s="4" t="s">
        <v>671</v>
      </c>
      <c r="B9" s="4" t="s">
        <v>672</v>
      </c>
      <c r="C9" s="4" t="s">
        <v>673</v>
      </c>
      <c r="D9" s="4"/>
    </row>
    <row r="10" customFormat="false" ht="15" hidden="false" customHeight="false" outlineLevel="0" collapsed="false">
      <c r="A10" s="4" t="s">
        <v>350</v>
      </c>
      <c r="B10" s="4" t="s">
        <v>197</v>
      </c>
      <c r="C10" s="4" t="s">
        <v>674</v>
      </c>
      <c r="D10" s="4"/>
    </row>
    <row r="11" customFormat="false" ht="15" hidden="false" customHeight="false" outlineLevel="0" collapsed="false">
      <c r="A11" s="4" t="s">
        <v>320</v>
      </c>
      <c r="B11" s="4" t="s">
        <v>247</v>
      </c>
      <c r="C11" s="4" t="s">
        <v>675</v>
      </c>
      <c r="D11" s="4"/>
    </row>
    <row r="12" customFormat="false" ht="23.85" hidden="false" customHeight="false" outlineLevel="0" collapsed="false">
      <c r="A12" s="4" t="s">
        <v>645</v>
      </c>
      <c r="B12" s="4" t="s">
        <v>676</v>
      </c>
      <c r="C12" s="4" t="s">
        <v>677</v>
      </c>
      <c r="D12" s="4" t="s">
        <v>678</v>
      </c>
    </row>
    <row r="13" customFormat="false" ht="15" hidden="false" customHeight="false" outlineLevel="0" collapsed="false">
      <c r="A13" s="4" t="s">
        <v>644</v>
      </c>
      <c r="B13" s="4" t="s">
        <v>243</v>
      </c>
      <c r="C13" s="4" t="s">
        <v>197</v>
      </c>
      <c r="D13" s="4" t="s">
        <v>679</v>
      </c>
    </row>
    <row r="14" customFormat="false" ht="15" hidden="false" customHeight="false" outlineLevel="0" collapsed="false">
      <c r="A14" s="4" t="s">
        <v>680</v>
      </c>
      <c r="B14" s="4" t="s">
        <v>255</v>
      </c>
      <c r="C14" s="4" t="s">
        <v>681</v>
      </c>
      <c r="D14" s="4"/>
    </row>
    <row r="15" customFormat="false" ht="23.85" hidden="false" customHeight="false" outlineLevel="0" collapsed="false">
      <c r="A15" s="4" t="s">
        <v>500</v>
      </c>
      <c r="B15" s="4" t="s">
        <v>197</v>
      </c>
      <c r="C15" s="4" t="s">
        <v>682</v>
      </c>
      <c r="D15" s="4" t="s">
        <v>683</v>
      </c>
    </row>
    <row r="16" customFormat="false" ht="15" hidden="false" customHeight="false" outlineLevel="0" collapsed="false">
      <c r="A16" s="4" t="s">
        <v>684</v>
      </c>
      <c r="B16" s="4" t="s">
        <v>685</v>
      </c>
      <c r="C16" s="4" t="s">
        <v>235</v>
      </c>
      <c r="D16" s="4" t="s">
        <v>686</v>
      </c>
    </row>
    <row r="17" customFormat="false" ht="15" hidden="false" customHeight="false" outlineLevel="0" collapsed="false">
      <c r="A17" s="4" t="s">
        <v>687</v>
      </c>
      <c r="B17" s="4" t="s">
        <v>688</v>
      </c>
      <c r="C17" s="4" t="s">
        <v>689</v>
      </c>
      <c r="D17" s="4" t="s">
        <v>690</v>
      </c>
    </row>
    <row r="18" customFormat="false" ht="15" hidden="false" customHeight="false" outlineLevel="0" collapsed="false">
      <c r="A18" s="4" t="s">
        <v>691</v>
      </c>
      <c r="B18" s="4" t="s">
        <v>692</v>
      </c>
      <c r="C18" s="4" t="s">
        <v>227</v>
      </c>
      <c r="D18" s="4" t="s">
        <v>693</v>
      </c>
    </row>
    <row r="19" customFormat="false" ht="15" hidden="false" customHeight="false" outlineLevel="0" collapsed="false">
      <c r="A19" s="4" t="s">
        <v>694</v>
      </c>
      <c r="B19" s="4" t="s">
        <v>672</v>
      </c>
      <c r="C19" s="4" t="s">
        <v>695</v>
      </c>
      <c r="D19" s="4"/>
    </row>
    <row r="20" customFormat="false" ht="15" hidden="false" customHeight="false" outlineLevel="0" collapsed="false">
      <c r="A20" s="4" t="s">
        <v>468</v>
      </c>
      <c r="B20" s="4" t="s">
        <v>517</v>
      </c>
      <c r="C20" s="4" t="s">
        <v>190</v>
      </c>
      <c r="D20" s="4" t="s">
        <v>696</v>
      </c>
    </row>
    <row r="21" customFormat="false" ht="15" hidden="false" customHeight="false" outlineLevel="0" collapsed="false">
      <c r="A21" s="4" t="s">
        <v>697</v>
      </c>
      <c r="B21" s="4" t="s">
        <v>197</v>
      </c>
      <c r="C21" s="4" t="s">
        <v>190</v>
      </c>
      <c r="D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2026-09-26T22:27:14Z</dcterms:created>
  <dc:creator>openpyxl</dc:creator>
  <dc:description/>
  <dc:language>en-US</dc:language>
  <cp:lastModifiedBy/>
  <dcterms:modified xsi:type="dcterms:W3CDTF">2026-09-26T22:27:14Z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